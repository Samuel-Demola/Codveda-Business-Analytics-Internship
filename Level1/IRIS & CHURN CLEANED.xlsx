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49296B1-A984-474F-B792-98187A25ADBE}" xr6:coauthVersionLast="47" xr6:coauthVersionMax="47" xr10:uidLastSave="{00000000-0000-0000-0000-000000000000}"/>
  <bookViews>
    <workbookView xWindow="-120" yWindow="-120" windowWidth="20730" windowHeight="11160" activeTab="2" xr2:uid="{EE313EF5-C793-4237-B973-83519D1D5437}"/>
  </bookViews>
  <sheets>
    <sheet name="1) iris" sheetId="3" r:id="rId1"/>
    <sheet name="churn-bigml-80" sheetId="5" r:id="rId2"/>
    <sheet name="Churn Summary Stats" sheetId="6" r:id="rId3"/>
    <sheet name="EDA Summary." sheetId="7" r:id="rId4"/>
    <sheet name="Charts" sheetId="8" r:id="rId5"/>
  </sheets>
  <definedNames>
    <definedName name="_xlchart.v1.0" hidden="1">'1) iris'!$D$1</definedName>
    <definedName name="_xlchart.v1.1" hidden="1">'1) iris'!$D$2:$D$150</definedName>
    <definedName name="_xlchart.v1.2" hidden="1">'1) iris'!$B$1</definedName>
    <definedName name="_xlchart.v1.3" hidden="1">'1) iris'!$B$2:$B$150</definedName>
    <definedName name="_xlchart.v1.4" hidden="1">'1) iris'!$A$2:$A$148</definedName>
    <definedName name="_xlchart.v1.5" hidden="1">'1) iris'!$C$1</definedName>
    <definedName name="_xlchart.v1.6" hidden="1">'1) iris'!$C$2:$C$150</definedName>
    <definedName name="ExternalData_1" localSheetId="0" hidden="1">'1) iris'!$A$1:$E$148</definedName>
    <definedName name="ExternalData_1" localSheetId="1" hidden="1">'churn-bigml-80'!$A$1:$T$2667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D16" i="7"/>
  <c r="D15" i="7"/>
  <c r="D14" i="7"/>
  <c r="D13" i="7"/>
  <c r="C8" i="7"/>
  <c r="D8" i="7"/>
  <c r="E8" i="7"/>
  <c r="B8" i="7"/>
  <c r="C7" i="7"/>
  <c r="D7" i="7"/>
  <c r="E7" i="7"/>
  <c r="B7" i="7"/>
  <c r="C6" i="7"/>
  <c r="D6" i="7"/>
  <c r="E6" i="7"/>
  <c r="B6" i="7"/>
  <c r="C5" i="7"/>
  <c r="D5" i="7"/>
  <c r="E5" i="7"/>
  <c r="B5" i="7"/>
  <c r="C4" i="7"/>
  <c r="D4" i="7"/>
  <c r="E4" i="7"/>
  <c r="B4" i="7"/>
  <c r="C3" i="7"/>
  <c r="D3" i="7"/>
  <c r="E3" i="7"/>
  <c r="B3" i="7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D3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C17" i="6"/>
  <c r="B17" i="6"/>
  <c r="C16" i="6"/>
  <c r="B16" i="6"/>
  <c r="C15" i="6"/>
  <c r="B15" i="6"/>
  <c r="C14" i="6"/>
  <c r="B14" i="6"/>
  <c r="C13" i="6"/>
  <c r="B13" i="6"/>
  <c r="B12" i="6"/>
  <c r="C10" i="6"/>
  <c r="C11" i="6"/>
  <c r="C12" i="6"/>
  <c r="B11" i="6"/>
  <c r="B10" i="6"/>
  <c r="C9" i="6"/>
  <c r="C8" i="6"/>
  <c r="B9" i="6"/>
  <c r="C7" i="6"/>
  <c r="B8" i="6"/>
  <c r="B7" i="6"/>
  <c r="C6" i="6"/>
  <c r="B6" i="6"/>
  <c r="C5" i="6"/>
  <c r="B5" i="6"/>
  <c r="B4" i="6"/>
  <c r="C4" i="6"/>
  <c r="B3" i="6"/>
  <c r="C3" i="6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1" i="3"/>
  <c r="G10" i="3"/>
  <c r="G9" i="3"/>
  <c r="G8" i="3"/>
  <c r="G7" i="3"/>
  <c r="G6" i="3"/>
  <c r="G5" i="3"/>
  <c r="G4" i="3"/>
  <c r="G3" i="3"/>
  <c r="G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43270-9BE1-47B2-9B67-3FCE69A2350C}" keepAlive="1" name="Query - 1) iris" description="Connection to the '1) iris' query in the workbook." type="5" refreshedVersion="8" background="1" saveData="1">
    <dbPr connection="Provider=Microsoft.Mashup.OleDb.1;Data Source=$Workbook$;Location=&quot;1) iris&quot;;Extended Properties=&quot;&quot;" command="SELECT * FROM [1) iris]"/>
  </connection>
  <connection id="2" xr16:uid="{B2779674-0A3D-4B97-8D3A-0D2B91558261}" keepAlive="1" name="Query - churn-bigml-80" description="Connection to the 'churn-bigml-80' query in the workbook." type="5" refreshedVersion="8" background="1" saveData="1">
    <dbPr connection="Provider=Microsoft.Mashup.OleDb.1;Data Source=$Workbook$;Location=churn-bigml-80;Extended Properties=&quot;&quot;" command="SELECT * FROM [churn-bigml-80]"/>
  </connection>
</connections>
</file>

<file path=xl/sharedStrings.xml><?xml version="1.0" encoding="utf-8"?>
<sst xmlns="http://schemas.openxmlformats.org/spreadsheetml/2006/main" count="8212" uniqueCount="108">
  <si>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</si>
  <si>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</si>
  <si>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</si>
  <si>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</si>
  <si>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</si>
  <si>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</si>
  <si>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</si>
  <si>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</si>
  <si>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</si>
  <si>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</si>
  <si>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</si>
  <si>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</si>
  <si>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</si>
  <si>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</si>
  <si>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</si>
  <si>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</si>
  <si>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</si>
  <si>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</si>
  <si>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</si>
  <si>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</si>
  <si>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</si>
  <si>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</si>
  <si>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</si>
  <si>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</si>
  <si>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</si>
  <si>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</si>
  <si>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</si>
  <si>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</si>
  <si>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</si>
  <si>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</si>
  <si>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</si>
  <si>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</si>
  <si>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</si>
  <si>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</si>
  <si>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</si>
  <si>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</si>
  <si>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</si>
  <si>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</si>
  <si>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</si>
  <si>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</si>
  <si>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</si>
  <si>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</si>
  <si>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</si>
  <si>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</si>
  <si>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</si>
  <si>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</si>
  <si>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</si>
  <si>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</si>
  <si>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</si>
  <si>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</si>
  <si>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</si>
  <si>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</si>
  <si>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</si>
  <si>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</si>
  <si>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</si>
  <si>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</si>
  <si>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</si>
  <si>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</si>
  <si>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</si>
  <si>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</si>
  <si>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</si>
  <si>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</si>
  <si>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</si>
  <si>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</si>
  <si>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</si>
  <si>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</si>
  <si>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</si>
  <si>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</si>
  <si>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</si>
  <si>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</si>
  <si>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</si>
  <si>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</si>
  <si>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</si>
  <si>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</si>
  <si>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</si>
  <si>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</si>
  <si>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</si>
  <si>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</si>
  <si>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</si>
  <si>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</si>
  <si>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</si>
  <si>
    <t>sepal_width_normalized</t>
  </si>
  <si>
    <t>sepal_length_normalized</t>
  </si>
  <si>
    <t>petal_length_normalized</t>
  </si>
  <si>
    <t>petal_width_normalized</t>
  </si>
  <si>
    <t>Column</t>
  </si>
  <si>
    <t>STDEV</t>
  </si>
  <si>
    <t>MINIMUM</t>
  </si>
  <si>
    <t>MAXIMUM</t>
  </si>
  <si>
    <t>AVERAGE</t>
  </si>
  <si>
    <t>Mean</t>
  </si>
  <si>
    <t>Median</t>
  </si>
  <si>
    <t>Mode</t>
  </si>
  <si>
    <t>Std Dev</t>
  </si>
  <si>
    <t>Min</t>
  </si>
  <si>
    <t>Max</t>
  </si>
  <si>
    <t>EDA STATISTICAL SUMMARY</t>
  </si>
  <si>
    <t>Sepal_length</t>
  </si>
  <si>
    <t>Sepal_width</t>
  </si>
  <si>
    <t>Petal_length</t>
  </si>
  <si>
    <t>Petal_width</t>
  </si>
  <si>
    <t>CORRELATION ANALYSIS</t>
  </si>
  <si>
    <t>Relationship</t>
  </si>
  <si>
    <t>Values</t>
  </si>
  <si>
    <t>Sepal-length vs Petal_length</t>
  </si>
  <si>
    <t>Sepal-width vs Petal_width</t>
  </si>
  <si>
    <t>Sepal-length vs Petal_width</t>
  </si>
  <si>
    <t>Sepal-width vs Petal_length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</si>
</sst>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2" fontId="0" fillId="0" borderId="0" xfId="0" applyNumberFormat="1"/>
    <xf numFmtId="0" fontId="3" fillId="0" borderId="0" xfId="0" applyFont="1"/>
    <xf numFmtId="0" fontId="1" fillId="3" borderId="1" xfId="0" applyFont="1" applyFill="1" applyBorder="1"/>
    <xf numFmtId="2" fontId="2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2" fontId="5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Sepal_length vs Sepal_width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'1) iris'!$A$2:$A$148</c:f>
              <c:numCache>
                <c:formatCode>General</c:formatCode>
                <c:ptCount val="147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  <c:pt idx="5">
                  <c:v>5.4</c:v>
                </c:pt>
                <c:pt idx="6">
                  <c:v>4.5999999999999996</c:v>
                </c:pt>
                <c:pt idx="7">
                  <c:v>5</c:v>
                </c:pt>
                <c:pt idx="8">
                  <c:v>4.4000000000000004</c:v>
                </c:pt>
                <c:pt idx="9">
                  <c:v>4.9000000000000004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5.0999999999999996</c:v>
                </c:pt>
                <c:pt idx="18">
                  <c:v>5.7</c:v>
                </c:pt>
                <c:pt idx="19">
                  <c:v>5.0999999999999996</c:v>
                </c:pt>
                <c:pt idx="20">
                  <c:v>5.4</c:v>
                </c:pt>
                <c:pt idx="21">
                  <c:v>5.0999999999999996</c:v>
                </c:pt>
                <c:pt idx="22">
                  <c:v>4.5999999999999996</c:v>
                </c:pt>
                <c:pt idx="23">
                  <c:v>5.0999999999999996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5</c:v>
                </c:pt>
                <c:pt idx="35">
                  <c:v>5.5</c:v>
                </c:pt>
                <c:pt idx="36">
                  <c:v>4.4000000000000004</c:v>
                </c:pt>
                <c:pt idx="37">
                  <c:v>5.0999999999999996</c:v>
                </c:pt>
                <c:pt idx="38">
                  <c:v>5</c:v>
                </c:pt>
                <c:pt idx="39">
                  <c:v>4.5</c:v>
                </c:pt>
                <c:pt idx="40">
                  <c:v>4.4000000000000004</c:v>
                </c:pt>
                <c:pt idx="41">
                  <c:v>5</c:v>
                </c:pt>
                <c:pt idx="42">
                  <c:v>5.0999999999999996</c:v>
                </c:pt>
                <c:pt idx="43">
                  <c:v>4.8</c:v>
                </c:pt>
                <c:pt idx="44">
                  <c:v>5.0999999999999996</c:v>
                </c:pt>
                <c:pt idx="45">
                  <c:v>4.5999999999999996</c:v>
                </c:pt>
                <c:pt idx="46">
                  <c:v>5.3</c:v>
                </c:pt>
                <c:pt idx="47">
                  <c:v>5</c:v>
                </c:pt>
                <c:pt idx="48">
                  <c:v>7</c:v>
                </c:pt>
                <c:pt idx="49">
                  <c:v>6.4</c:v>
                </c:pt>
                <c:pt idx="50">
                  <c:v>6.9</c:v>
                </c:pt>
                <c:pt idx="51">
                  <c:v>5.5</c:v>
                </c:pt>
                <c:pt idx="52">
                  <c:v>6.5</c:v>
                </c:pt>
                <c:pt idx="53">
                  <c:v>5.7</c:v>
                </c:pt>
                <c:pt idx="54">
                  <c:v>6.3</c:v>
                </c:pt>
                <c:pt idx="55">
                  <c:v>4.9000000000000004</c:v>
                </c:pt>
                <c:pt idx="56">
                  <c:v>6.6</c:v>
                </c:pt>
                <c:pt idx="57">
                  <c:v>5.2</c:v>
                </c:pt>
                <c:pt idx="58">
                  <c:v>5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5.6</c:v>
                </c:pt>
                <c:pt idx="63">
                  <c:v>6.7</c:v>
                </c:pt>
                <c:pt idx="64">
                  <c:v>5.6</c:v>
                </c:pt>
                <c:pt idx="65">
                  <c:v>5.8</c:v>
                </c:pt>
                <c:pt idx="66">
                  <c:v>6.2</c:v>
                </c:pt>
                <c:pt idx="67">
                  <c:v>5.6</c:v>
                </c:pt>
                <c:pt idx="68">
                  <c:v>5.9</c:v>
                </c:pt>
                <c:pt idx="69">
                  <c:v>6.1</c:v>
                </c:pt>
                <c:pt idx="70">
                  <c:v>6.3</c:v>
                </c:pt>
                <c:pt idx="71">
                  <c:v>6.1</c:v>
                </c:pt>
                <c:pt idx="72">
                  <c:v>6.4</c:v>
                </c:pt>
                <c:pt idx="73">
                  <c:v>6.6</c:v>
                </c:pt>
                <c:pt idx="74">
                  <c:v>6.8</c:v>
                </c:pt>
                <c:pt idx="75">
                  <c:v>6.7</c:v>
                </c:pt>
                <c:pt idx="76">
                  <c:v>6</c:v>
                </c:pt>
                <c:pt idx="77">
                  <c:v>5.7</c:v>
                </c:pt>
                <c:pt idx="78">
                  <c:v>5.5</c:v>
                </c:pt>
                <c:pt idx="79">
                  <c:v>5.5</c:v>
                </c:pt>
                <c:pt idx="80">
                  <c:v>5.8</c:v>
                </c:pt>
                <c:pt idx="81">
                  <c:v>6</c:v>
                </c:pt>
                <c:pt idx="82">
                  <c:v>5.4</c:v>
                </c:pt>
                <c:pt idx="83">
                  <c:v>6</c:v>
                </c:pt>
                <c:pt idx="84">
                  <c:v>6.7</c:v>
                </c:pt>
                <c:pt idx="85">
                  <c:v>6.3</c:v>
                </c:pt>
                <c:pt idx="86">
                  <c:v>5.6</c:v>
                </c:pt>
                <c:pt idx="87">
                  <c:v>5.5</c:v>
                </c:pt>
                <c:pt idx="88">
                  <c:v>5.5</c:v>
                </c:pt>
                <c:pt idx="89">
                  <c:v>6.1</c:v>
                </c:pt>
                <c:pt idx="90">
                  <c:v>5.8</c:v>
                </c:pt>
                <c:pt idx="91">
                  <c:v>5</c:v>
                </c:pt>
                <c:pt idx="92">
                  <c:v>5.6</c:v>
                </c:pt>
                <c:pt idx="93">
                  <c:v>5.7</c:v>
                </c:pt>
                <c:pt idx="94">
                  <c:v>5.7</c:v>
                </c:pt>
                <c:pt idx="95">
                  <c:v>6.2</c:v>
                </c:pt>
                <c:pt idx="96">
                  <c:v>5.0999999999999996</c:v>
                </c:pt>
                <c:pt idx="97">
                  <c:v>5.7</c:v>
                </c:pt>
                <c:pt idx="98">
                  <c:v>6.3</c:v>
                </c:pt>
                <c:pt idx="99">
                  <c:v>5.8</c:v>
                </c:pt>
                <c:pt idx="100">
                  <c:v>7.1</c:v>
                </c:pt>
                <c:pt idx="101">
                  <c:v>6.3</c:v>
                </c:pt>
                <c:pt idx="102">
                  <c:v>6.5</c:v>
                </c:pt>
                <c:pt idx="103">
                  <c:v>7.6</c:v>
                </c:pt>
                <c:pt idx="104">
                  <c:v>4.9000000000000004</c:v>
                </c:pt>
                <c:pt idx="105">
                  <c:v>7.3</c:v>
                </c:pt>
                <c:pt idx="106">
                  <c:v>6.7</c:v>
                </c:pt>
                <c:pt idx="107">
                  <c:v>7.2</c:v>
                </c:pt>
                <c:pt idx="108">
                  <c:v>6.5</c:v>
                </c:pt>
                <c:pt idx="109">
                  <c:v>6.4</c:v>
                </c:pt>
                <c:pt idx="110">
                  <c:v>6.8</c:v>
                </c:pt>
                <c:pt idx="111">
                  <c:v>5.7</c:v>
                </c:pt>
                <c:pt idx="112">
                  <c:v>5.8</c:v>
                </c:pt>
                <c:pt idx="113">
                  <c:v>6.4</c:v>
                </c:pt>
                <c:pt idx="114">
                  <c:v>6.5</c:v>
                </c:pt>
                <c:pt idx="115">
                  <c:v>7.7</c:v>
                </c:pt>
                <c:pt idx="116">
                  <c:v>7.7</c:v>
                </c:pt>
                <c:pt idx="117">
                  <c:v>6</c:v>
                </c:pt>
                <c:pt idx="118">
                  <c:v>6.9</c:v>
                </c:pt>
                <c:pt idx="119">
                  <c:v>5.6</c:v>
                </c:pt>
                <c:pt idx="120">
                  <c:v>7.7</c:v>
                </c:pt>
                <c:pt idx="121">
                  <c:v>6.3</c:v>
                </c:pt>
                <c:pt idx="122">
                  <c:v>6.7</c:v>
                </c:pt>
                <c:pt idx="123">
                  <c:v>7.2</c:v>
                </c:pt>
                <c:pt idx="124">
                  <c:v>6.2</c:v>
                </c:pt>
                <c:pt idx="125">
                  <c:v>6.1</c:v>
                </c:pt>
                <c:pt idx="126">
                  <c:v>6.4</c:v>
                </c:pt>
                <c:pt idx="127">
                  <c:v>7.2</c:v>
                </c:pt>
                <c:pt idx="128">
                  <c:v>7.4</c:v>
                </c:pt>
                <c:pt idx="129">
                  <c:v>7.9</c:v>
                </c:pt>
                <c:pt idx="130">
                  <c:v>6.4</c:v>
                </c:pt>
                <c:pt idx="131">
                  <c:v>6.3</c:v>
                </c:pt>
                <c:pt idx="132">
                  <c:v>6.1</c:v>
                </c:pt>
                <c:pt idx="133">
                  <c:v>7.7</c:v>
                </c:pt>
                <c:pt idx="134">
                  <c:v>6.3</c:v>
                </c:pt>
                <c:pt idx="135">
                  <c:v>6.4</c:v>
                </c:pt>
                <c:pt idx="136">
                  <c:v>6</c:v>
                </c:pt>
                <c:pt idx="137">
                  <c:v>6.9</c:v>
                </c:pt>
                <c:pt idx="138">
                  <c:v>6.7</c:v>
                </c:pt>
                <c:pt idx="139">
                  <c:v>6.9</c:v>
                </c:pt>
                <c:pt idx="140">
                  <c:v>6.8</c:v>
                </c:pt>
                <c:pt idx="141">
                  <c:v>6.7</c:v>
                </c:pt>
                <c:pt idx="142">
                  <c:v>6.7</c:v>
                </c:pt>
                <c:pt idx="143">
                  <c:v>6.3</c:v>
                </c:pt>
                <c:pt idx="144">
                  <c:v>6.5</c:v>
                </c:pt>
                <c:pt idx="145">
                  <c:v>6.2</c:v>
                </c:pt>
                <c:pt idx="146">
                  <c:v>5.9</c:v>
                </c:pt>
              </c:numCache>
            </c:numRef>
          </c:xVal>
          <c:yVal>
            <c:numRef>
              <c:f>'1) iris'!$B$2:$B$148</c:f>
              <c:numCache>
                <c:formatCode>General</c:formatCode>
                <c:ptCount val="147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4.4000000000000004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4.0999999999999996</c:v>
                </c:pt>
                <c:pt idx="33">
                  <c:v>4.2</c:v>
                </c:pt>
                <c:pt idx="34">
                  <c:v>3.2</c:v>
                </c:pt>
                <c:pt idx="35">
                  <c:v>3.5</c:v>
                </c:pt>
                <c:pt idx="36">
                  <c:v>3</c:v>
                </c:pt>
                <c:pt idx="37">
                  <c:v>3.4</c:v>
                </c:pt>
                <c:pt idx="38">
                  <c:v>3.5</c:v>
                </c:pt>
                <c:pt idx="39">
                  <c:v>2.2999999999999998</c:v>
                </c:pt>
                <c:pt idx="40">
                  <c:v>3.2</c:v>
                </c:pt>
                <c:pt idx="41">
                  <c:v>3.5</c:v>
                </c:pt>
                <c:pt idx="42">
                  <c:v>3.8</c:v>
                </c:pt>
                <c:pt idx="43">
                  <c:v>3</c:v>
                </c:pt>
                <c:pt idx="44">
                  <c:v>3.8</c:v>
                </c:pt>
                <c:pt idx="45">
                  <c:v>3.2</c:v>
                </c:pt>
                <c:pt idx="46">
                  <c:v>3.7</c:v>
                </c:pt>
                <c:pt idx="47">
                  <c:v>3.3</c:v>
                </c:pt>
                <c:pt idx="48">
                  <c:v>3.2</c:v>
                </c:pt>
                <c:pt idx="49">
                  <c:v>3.2</c:v>
                </c:pt>
                <c:pt idx="50">
                  <c:v>3.1</c:v>
                </c:pt>
                <c:pt idx="51">
                  <c:v>2.2999999999999998</c:v>
                </c:pt>
                <c:pt idx="52">
                  <c:v>2.8</c:v>
                </c:pt>
                <c:pt idx="53">
                  <c:v>2.8</c:v>
                </c:pt>
                <c:pt idx="54">
                  <c:v>3.3</c:v>
                </c:pt>
                <c:pt idx="55">
                  <c:v>2.4</c:v>
                </c:pt>
                <c:pt idx="56">
                  <c:v>2.9</c:v>
                </c:pt>
                <c:pt idx="57">
                  <c:v>2.7</c:v>
                </c:pt>
                <c:pt idx="58">
                  <c:v>2</c:v>
                </c:pt>
                <c:pt idx="59">
                  <c:v>3</c:v>
                </c:pt>
                <c:pt idx="60">
                  <c:v>2.2000000000000002</c:v>
                </c:pt>
                <c:pt idx="61">
                  <c:v>2.9</c:v>
                </c:pt>
                <c:pt idx="62">
                  <c:v>2.9</c:v>
                </c:pt>
                <c:pt idx="63">
                  <c:v>3.1</c:v>
                </c:pt>
                <c:pt idx="64">
                  <c:v>3</c:v>
                </c:pt>
                <c:pt idx="65">
                  <c:v>2.7</c:v>
                </c:pt>
                <c:pt idx="66">
                  <c:v>2.2000000000000002</c:v>
                </c:pt>
                <c:pt idx="67">
                  <c:v>2.5</c:v>
                </c:pt>
                <c:pt idx="68">
                  <c:v>3.2</c:v>
                </c:pt>
                <c:pt idx="69">
                  <c:v>2.8</c:v>
                </c:pt>
                <c:pt idx="70">
                  <c:v>2.5</c:v>
                </c:pt>
                <c:pt idx="71">
                  <c:v>2.8</c:v>
                </c:pt>
                <c:pt idx="72">
                  <c:v>2.9</c:v>
                </c:pt>
                <c:pt idx="73">
                  <c:v>3</c:v>
                </c:pt>
                <c:pt idx="74">
                  <c:v>2.8</c:v>
                </c:pt>
                <c:pt idx="75">
                  <c:v>3</c:v>
                </c:pt>
                <c:pt idx="76">
                  <c:v>2.9</c:v>
                </c:pt>
                <c:pt idx="77">
                  <c:v>2.6</c:v>
                </c:pt>
                <c:pt idx="78">
                  <c:v>2.4</c:v>
                </c:pt>
                <c:pt idx="79">
                  <c:v>2.4</c:v>
                </c:pt>
                <c:pt idx="80">
                  <c:v>2.7</c:v>
                </c:pt>
                <c:pt idx="81">
                  <c:v>2.7</c:v>
                </c:pt>
                <c:pt idx="82">
                  <c:v>3</c:v>
                </c:pt>
                <c:pt idx="83">
                  <c:v>3.4</c:v>
                </c:pt>
                <c:pt idx="84">
                  <c:v>3.1</c:v>
                </c:pt>
                <c:pt idx="85">
                  <c:v>2.2999999999999998</c:v>
                </c:pt>
                <c:pt idx="86">
                  <c:v>3</c:v>
                </c:pt>
                <c:pt idx="87">
                  <c:v>2.5</c:v>
                </c:pt>
                <c:pt idx="88">
                  <c:v>2.6</c:v>
                </c:pt>
                <c:pt idx="89">
                  <c:v>3</c:v>
                </c:pt>
                <c:pt idx="90">
                  <c:v>2.6</c:v>
                </c:pt>
                <c:pt idx="91">
                  <c:v>2.2999999999999998</c:v>
                </c:pt>
                <c:pt idx="92">
                  <c:v>2.7</c:v>
                </c:pt>
                <c:pt idx="93">
                  <c:v>3</c:v>
                </c:pt>
                <c:pt idx="94">
                  <c:v>2.9</c:v>
                </c:pt>
                <c:pt idx="95">
                  <c:v>2.9</c:v>
                </c:pt>
                <c:pt idx="96">
                  <c:v>2.5</c:v>
                </c:pt>
                <c:pt idx="97">
                  <c:v>2.8</c:v>
                </c:pt>
                <c:pt idx="98">
                  <c:v>3.3</c:v>
                </c:pt>
                <c:pt idx="99">
                  <c:v>2.7</c:v>
                </c:pt>
                <c:pt idx="100">
                  <c:v>3</c:v>
                </c:pt>
                <c:pt idx="101">
                  <c:v>2.9</c:v>
                </c:pt>
                <c:pt idx="102">
                  <c:v>3</c:v>
                </c:pt>
                <c:pt idx="103">
                  <c:v>3</c:v>
                </c:pt>
                <c:pt idx="104">
                  <c:v>2.5</c:v>
                </c:pt>
                <c:pt idx="105">
                  <c:v>2.9</c:v>
                </c:pt>
                <c:pt idx="106">
                  <c:v>2.5</c:v>
                </c:pt>
                <c:pt idx="107">
                  <c:v>3.6</c:v>
                </c:pt>
                <c:pt idx="108">
                  <c:v>3.2</c:v>
                </c:pt>
                <c:pt idx="109">
                  <c:v>2.7</c:v>
                </c:pt>
                <c:pt idx="110">
                  <c:v>3</c:v>
                </c:pt>
                <c:pt idx="111">
                  <c:v>2.5</c:v>
                </c:pt>
                <c:pt idx="112">
                  <c:v>2.8</c:v>
                </c:pt>
                <c:pt idx="113">
                  <c:v>3.2</c:v>
                </c:pt>
                <c:pt idx="114">
                  <c:v>3</c:v>
                </c:pt>
                <c:pt idx="115">
                  <c:v>3.8</c:v>
                </c:pt>
                <c:pt idx="116">
                  <c:v>2.6</c:v>
                </c:pt>
                <c:pt idx="117">
                  <c:v>2.2000000000000002</c:v>
                </c:pt>
                <c:pt idx="118">
                  <c:v>3.2</c:v>
                </c:pt>
                <c:pt idx="119">
                  <c:v>2.8</c:v>
                </c:pt>
                <c:pt idx="120">
                  <c:v>2.8</c:v>
                </c:pt>
                <c:pt idx="121">
                  <c:v>2.7</c:v>
                </c:pt>
                <c:pt idx="122">
                  <c:v>3.3</c:v>
                </c:pt>
                <c:pt idx="123">
                  <c:v>3.2</c:v>
                </c:pt>
                <c:pt idx="124">
                  <c:v>2.8</c:v>
                </c:pt>
                <c:pt idx="125">
                  <c:v>3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3.8</c:v>
                </c:pt>
                <c:pt idx="130">
                  <c:v>2.8</c:v>
                </c:pt>
                <c:pt idx="131">
                  <c:v>2.8</c:v>
                </c:pt>
                <c:pt idx="132">
                  <c:v>2.6</c:v>
                </c:pt>
                <c:pt idx="133">
                  <c:v>3</c:v>
                </c:pt>
                <c:pt idx="134">
                  <c:v>3.4</c:v>
                </c:pt>
                <c:pt idx="135">
                  <c:v>3.1</c:v>
                </c:pt>
                <c:pt idx="136">
                  <c:v>3</c:v>
                </c:pt>
                <c:pt idx="137">
                  <c:v>3.1</c:v>
                </c:pt>
                <c:pt idx="138">
                  <c:v>3.1</c:v>
                </c:pt>
                <c:pt idx="139">
                  <c:v>3.1</c:v>
                </c:pt>
                <c:pt idx="140">
                  <c:v>3.2</c:v>
                </c:pt>
                <c:pt idx="141">
                  <c:v>3.3</c:v>
                </c:pt>
                <c:pt idx="142">
                  <c:v>3</c:v>
                </c:pt>
                <c:pt idx="143">
                  <c:v>2.5</c:v>
                </c:pt>
                <c:pt idx="144">
                  <c:v>3</c:v>
                </c:pt>
                <c:pt idx="145">
                  <c:v>3.4</c:v>
                </c:pt>
                <c:pt idx="14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7-447D-A7ED-66345471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082207"/>
        <c:axId val="1337083167"/>
      </c:scatterChart>
      <c:valAx>
        <c:axId val="133708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83167"/>
        <c:crosses val="autoZero"/>
        <c:crossBetween val="midCat"/>
      </c:valAx>
      <c:valAx>
        <c:axId val="13370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8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Petal_length</a:t>
            </a:r>
            <a:r>
              <a:rPr lang="en-US" baseline="0"/>
              <a:t> vs Petal_width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'1) iris'!$C$2:$C$148</c:f>
              <c:numCache>
                <c:formatCode>General</c:formatCode>
                <c:ptCount val="147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1.2</c:v>
                </c:pt>
                <c:pt idx="35">
                  <c:v>1.3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1.3</c:v>
                </c:pt>
                <c:pt idx="40">
                  <c:v>1.3</c:v>
                </c:pt>
                <c:pt idx="41">
                  <c:v>1.6</c:v>
                </c:pt>
                <c:pt idx="42">
                  <c:v>1.9</c:v>
                </c:pt>
                <c:pt idx="43">
                  <c:v>1.4</c:v>
                </c:pt>
                <c:pt idx="44">
                  <c:v>1.6</c:v>
                </c:pt>
                <c:pt idx="45">
                  <c:v>1.4</c:v>
                </c:pt>
                <c:pt idx="46">
                  <c:v>1.5</c:v>
                </c:pt>
                <c:pt idx="47">
                  <c:v>1.4</c:v>
                </c:pt>
                <c:pt idx="48">
                  <c:v>4.7</c:v>
                </c:pt>
                <c:pt idx="49">
                  <c:v>4.5</c:v>
                </c:pt>
                <c:pt idx="50">
                  <c:v>4.9000000000000004</c:v>
                </c:pt>
                <c:pt idx="51">
                  <c:v>4</c:v>
                </c:pt>
                <c:pt idx="52">
                  <c:v>4.5999999999999996</c:v>
                </c:pt>
                <c:pt idx="53">
                  <c:v>4.5</c:v>
                </c:pt>
                <c:pt idx="54">
                  <c:v>4.7</c:v>
                </c:pt>
                <c:pt idx="55">
                  <c:v>3.3</c:v>
                </c:pt>
                <c:pt idx="56">
                  <c:v>4.5999999999999996</c:v>
                </c:pt>
                <c:pt idx="57">
                  <c:v>3.9</c:v>
                </c:pt>
                <c:pt idx="58">
                  <c:v>3.5</c:v>
                </c:pt>
                <c:pt idx="59">
                  <c:v>4.2</c:v>
                </c:pt>
                <c:pt idx="60">
                  <c:v>4</c:v>
                </c:pt>
                <c:pt idx="61">
                  <c:v>4.7</c:v>
                </c:pt>
                <c:pt idx="62">
                  <c:v>3.6</c:v>
                </c:pt>
                <c:pt idx="63">
                  <c:v>4.4000000000000004</c:v>
                </c:pt>
                <c:pt idx="64">
                  <c:v>4.5</c:v>
                </c:pt>
                <c:pt idx="65">
                  <c:v>4.0999999999999996</c:v>
                </c:pt>
                <c:pt idx="66">
                  <c:v>4.5</c:v>
                </c:pt>
                <c:pt idx="67">
                  <c:v>3.9</c:v>
                </c:pt>
                <c:pt idx="68">
                  <c:v>4.8</c:v>
                </c:pt>
                <c:pt idx="69">
                  <c:v>4</c:v>
                </c:pt>
                <c:pt idx="70">
                  <c:v>4.9000000000000004</c:v>
                </c:pt>
                <c:pt idx="71">
                  <c:v>4.7</c:v>
                </c:pt>
                <c:pt idx="72">
                  <c:v>4.3</c:v>
                </c:pt>
                <c:pt idx="73">
                  <c:v>4.4000000000000004</c:v>
                </c:pt>
                <c:pt idx="74">
                  <c:v>4.8</c:v>
                </c:pt>
                <c:pt idx="75">
                  <c:v>5</c:v>
                </c:pt>
                <c:pt idx="76">
                  <c:v>4.5</c:v>
                </c:pt>
                <c:pt idx="77">
                  <c:v>3.5</c:v>
                </c:pt>
                <c:pt idx="78">
                  <c:v>3.8</c:v>
                </c:pt>
                <c:pt idx="79">
                  <c:v>3.7</c:v>
                </c:pt>
                <c:pt idx="80">
                  <c:v>3.9</c:v>
                </c:pt>
                <c:pt idx="81">
                  <c:v>5.0999999999999996</c:v>
                </c:pt>
                <c:pt idx="82">
                  <c:v>4.5</c:v>
                </c:pt>
                <c:pt idx="83">
                  <c:v>4.5</c:v>
                </c:pt>
                <c:pt idx="84">
                  <c:v>4.7</c:v>
                </c:pt>
                <c:pt idx="85">
                  <c:v>4.4000000000000004</c:v>
                </c:pt>
                <c:pt idx="86">
                  <c:v>4.0999999999999996</c:v>
                </c:pt>
                <c:pt idx="87">
                  <c:v>4</c:v>
                </c:pt>
                <c:pt idx="88">
                  <c:v>4.4000000000000004</c:v>
                </c:pt>
                <c:pt idx="89">
                  <c:v>4.5999999999999996</c:v>
                </c:pt>
                <c:pt idx="90">
                  <c:v>4</c:v>
                </c:pt>
                <c:pt idx="91">
                  <c:v>3.3</c:v>
                </c:pt>
                <c:pt idx="92">
                  <c:v>4.2</c:v>
                </c:pt>
                <c:pt idx="93">
                  <c:v>4.2</c:v>
                </c:pt>
                <c:pt idx="94">
                  <c:v>4.2</c:v>
                </c:pt>
                <c:pt idx="95">
                  <c:v>4.3</c:v>
                </c:pt>
                <c:pt idx="96">
                  <c:v>3</c:v>
                </c:pt>
                <c:pt idx="97">
                  <c:v>4.0999999999999996</c:v>
                </c:pt>
                <c:pt idx="98">
                  <c:v>6</c:v>
                </c:pt>
                <c:pt idx="99">
                  <c:v>5.0999999999999996</c:v>
                </c:pt>
                <c:pt idx="100">
                  <c:v>5.9</c:v>
                </c:pt>
                <c:pt idx="101">
                  <c:v>5.6</c:v>
                </c:pt>
                <c:pt idx="102">
                  <c:v>5.8</c:v>
                </c:pt>
                <c:pt idx="103">
                  <c:v>6.6</c:v>
                </c:pt>
                <c:pt idx="104">
                  <c:v>4.5</c:v>
                </c:pt>
                <c:pt idx="105">
                  <c:v>6.3</c:v>
                </c:pt>
                <c:pt idx="106">
                  <c:v>5.8</c:v>
                </c:pt>
                <c:pt idx="107">
                  <c:v>6.1</c:v>
                </c:pt>
                <c:pt idx="108">
                  <c:v>5.0999999999999996</c:v>
                </c:pt>
                <c:pt idx="109">
                  <c:v>5.3</c:v>
                </c:pt>
                <c:pt idx="110">
                  <c:v>5.5</c:v>
                </c:pt>
                <c:pt idx="111">
                  <c:v>5</c:v>
                </c:pt>
                <c:pt idx="112">
                  <c:v>5.0999999999999996</c:v>
                </c:pt>
                <c:pt idx="113">
                  <c:v>5.3</c:v>
                </c:pt>
                <c:pt idx="114">
                  <c:v>5.5</c:v>
                </c:pt>
                <c:pt idx="115">
                  <c:v>6.7</c:v>
                </c:pt>
                <c:pt idx="116">
                  <c:v>6.9</c:v>
                </c:pt>
                <c:pt idx="117">
                  <c:v>5</c:v>
                </c:pt>
                <c:pt idx="118">
                  <c:v>5.7</c:v>
                </c:pt>
                <c:pt idx="119">
                  <c:v>4.9000000000000004</c:v>
                </c:pt>
                <c:pt idx="120">
                  <c:v>6.7</c:v>
                </c:pt>
                <c:pt idx="121">
                  <c:v>4.9000000000000004</c:v>
                </c:pt>
                <c:pt idx="122">
                  <c:v>5.7</c:v>
                </c:pt>
                <c:pt idx="123">
                  <c:v>6</c:v>
                </c:pt>
                <c:pt idx="124">
                  <c:v>4.8</c:v>
                </c:pt>
                <c:pt idx="125">
                  <c:v>4.9000000000000004</c:v>
                </c:pt>
                <c:pt idx="126">
                  <c:v>5.6</c:v>
                </c:pt>
                <c:pt idx="127">
                  <c:v>5.8</c:v>
                </c:pt>
                <c:pt idx="128">
                  <c:v>6.1</c:v>
                </c:pt>
                <c:pt idx="129">
                  <c:v>6.4</c:v>
                </c:pt>
                <c:pt idx="130">
                  <c:v>5.6</c:v>
                </c:pt>
                <c:pt idx="131">
                  <c:v>5.0999999999999996</c:v>
                </c:pt>
                <c:pt idx="132">
                  <c:v>5.6</c:v>
                </c:pt>
                <c:pt idx="133">
                  <c:v>6.1</c:v>
                </c:pt>
                <c:pt idx="134">
                  <c:v>5.6</c:v>
                </c:pt>
                <c:pt idx="135">
                  <c:v>5.5</c:v>
                </c:pt>
                <c:pt idx="136">
                  <c:v>4.8</c:v>
                </c:pt>
                <c:pt idx="137">
                  <c:v>5.4</c:v>
                </c:pt>
                <c:pt idx="138">
                  <c:v>5.6</c:v>
                </c:pt>
                <c:pt idx="139">
                  <c:v>5.0999999999999996</c:v>
                </c:pt>
                <c:pt idx="140">
                  <c:v>5.9</c:v>
                </c:pt>
                <c:pt idx="141">
                  <c:v>5.7</c:v>
                </c:pt>
                <c:pt idx="142">
                  <c:v>5.2</c:v>
                </c:pt>
                <c:pt idx="143">
                  <c:v>5</c:v>
                </c:pt>
                <c:pt idx="144">
                  <c:v>5.2</c:v>
                </c:pt>
                <c:pt idx="145">
                  <c:v>5.4</c:v>
                </c:pt>
                <c:pt idx="146">
                  <c:v>5.0999999999999996</c:v>
                </c:pt>
              </c:numCache>
            </c:numRef>
          </c:xVal>
          <c:yVal>
            <c:numRef>
              <c:f>'1) iris'!$D$2:$D$148</c:f>
              <c:numCache>
                <c:formatCode>General</c:formatCode>
                <c:ptCount val="147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</c:v>
                </c:pt>
                <c:pt idx="37">
                  <c:v>0.2</c:v>
                </c:pt>
                <c:pt idx="38">
                  <c:v>0.3</c:v>
                </c:pt>
                <c:pt idx="39">
                  <c:v>0.3</c:v>
                </c:pt>
                <c:pt idx="40">
                  <c:v>0.2</c:v>
                </c:pt>
                <c:pt idx="41">
                  <c:v>0.6</c:v>
                </c:pt>
                <c:pt idx="42">
                  <c:v>0.4</c:v>
                </c:pt>
                <c:pt idx="43">
                  <c:v>0.3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0.2</c:v>
                </c:pt>
                <c:pt idx="48">
                  <c:v>1.4</c:v>
                </c:pt>
                <c:pt idx="49">
                  <c:v>1.5</c:v>
                </c:pt>
                <c:pt idx="50">
                  <c:v>1.5</c:v>
                </c:pt>
                <c:pt idx="51">
                  <c:v>1.3</c:v>
                </c:pt>
                <c:pt idx="52">
                  <c:v>1.5</c:v>
                </c:pt>
                <c:pt idx="53">
                  <c:v>1.3</c:v>
                </c:pt>
                <c:pt idx="54">
                  <c:v>1.6</c:v>
                </c:pt>
                <c:pt idx="55">
                  <c:v>1</c:v>
                </c:pt>
                <c:pt idx="56">
                  <c:v>1.3</c:v>
                </c:pt>
                <c:pt idx="57">
                  <c:v>1.4</c:v>
                </c:pt>
                <c:pt idx="58">
                  <c:v>1</c:v>
                </c:pt>
                <c:pt idx="59">
                  <c:v>1.5</c:v>
                </c:pt>
                <c:pt idx="60">
                  <c:v>1</c:v>
                </c:pt>
                <c:pt idx="61">
                  <c:v>1.4</c:v>
                </c:pt>
                <c:pt idx="62">
                  <c:v>1.3</c:v>
                </c:pt>
                <c:pt idx="63">
                  <c:v>1.4</c:v>
                </c:pt>
                <c:pt idx="64">
                  <c:v>1.5</c:v>
                </c:pt>
                <c:pt idx="65">
                  <c:v>1</c:v>
                </c:pt>
                <c:pt idx="66">
                  <c:v>1.5</c:v>
                </c:pt>
                <c:pt idx="67">
                  <c:v>1.1000000000000001</c:v>
                </c:pt>
                <c:pt idx="68">
                  <c:v>1.8</c:v>
                </c:pt>
                <c:pt idx="69">
                  <c:v>1.3</c:v>
                </c:pt>
                <c:pt idx="70">
                  <c:v>1.5</c:v>
                </c:pt>
                <c:pt idx="71">
                  <c:v>1.2</c:v>
                </c:pt>
                <c:pt idx="72">
                  <c:v>1.3</c:v>
                </c:pt>
                <c:pt idx="73">
                  <c:v>1.4</c:v>
                </c:pt>
                <c:pt idx="74">
                  <c:v>1.4</c:v>
                </c:pt>
                <c:pt idx="75">
                  <c:v>1.7</c:v>
                </c:pt>
                <c:pt idx="76">
                  <c:v>1.5</c:v>
                </c:pt>
                <c:pt idx="77">
                  <c:v>1</c:v>
                </c:pt>
                <c:pt idx="78">
                  <c:v>1.1000000000000001</c:v>
                </c:pt>
                <c:pt idx="79">
                  <c:v>1</c:v>
                </c:pt>
                <c:pt idx="80">
                  <c:v>1.2</c:v>
                </c:pt>
                <c:pt idx="81">
                  <c:v>1.6</c:v>
                </c:pt>
                <c:pt idx="82">
                  <c:v>1.5</c:v>
                </c:pt>
                <c:pt idx="83">
                  <c:v>1.6</c:v>
                </c:pt>
                <c:pt idx="84">
                  <c:v>1.5</c:v>
                </c:pt>
                <c:pt idx="85">
                  <c:v>1.3</c:v>
                </c:pt>
                <c:pt idx="86">
                  <c:v>1.3</c:v>
                </c:pt>
                <c:pt idx="87">
                  <c:v>1.3</c:v>
                </c:pt>
                <c:pt idx="88">
                  <c:v>1.2</c:v>
                </c:pt>
                <c:pt idx="89">
                  <c:v>1.4</c:v>
                </c:pt>
                <c:pt idx="90">
                  <c:v>1.2</c:v>
                </c:pt>
                <c:pt idx="91">
                  <c:v>1</c:v>
                </c:pt>
                <c:pt idx="92">
                  <c:v>1.3</c:v>
                </c:pt>
                <c:pt idx="93">
                  <c:v>1.2</c:v>
                </c:pt>
                <c:pt idx="94">
                  <c:v>1.3</c:v>
                </c:pt>
                <c:pt idx="95">
                  <c:v>1.3</c:v>
                </c:pt>
                <c:pt idx="96">
                  <c:v>1.1000000000000001</c:v>
                </c:pt>
                <c:pt idx="97">
                  <c:v>1.3</c:v>
                </c:pt>
                <c:pt idx="98">
                  <c:v>2.5</c:v>
                </c:pt>
                <c:pt idx="99">
                  <c:v>1.9</c:v>
                </c:pt>
                <c:pt idx="100">
                  <c:v>2.1</c:v>
                </c:pt>
                <c:pt idx="101">
                  <c:v>1.8</c:v>
                </c:pt>
                <c:pt idx="102">
                  <c:v>2.2000000000000002</c:v>
                </c:pt>
                <c:pt idx="103">
                  <c:v>2.1</c:v>
                </c:pt>
                <c:pt idx="104">
                  <c:v>1.7</c:v>
                </c:pt>
                <c:pt idx="105">
                  <c:v>1.8</c:v>
                </c:pt>
                <c:pt idx="106">
                  <c:v>1.8</c:v>
                </c:pt>
                <c:pt idx="107">
                  <c:v>2.5</c:v>
                </c:pt>
                <c:pt idx="108">
                  <c:v>2</c:v>
                </c:pt>
                <c:pt idx="109">
                  <c:v>1.9</c:v>
                </c:pt>
                <c:pt idx="110">
                  <c:v>2.1</c:v>
                </c:pt>
                <c:pt idx="111">
                  <c:v>2</c:v>
                </c:pt>
                <c:pt idx="112">
                  <c:v>2.4</c:v>
                </c:pt>
                <c:pt idx="113">
                  <c:v>2.2999999999999998</c:v>
                </c:pt>
                <c:pt idx="114">
                  <c:v>1.8</c:v>
                </c:pt>
                <c:pt idx="115">
                  <c:v>2.2000000000000002</c:v>
                </c:pt>
                <c:pt idx="116">
                  <c:v>2.2999999999999998</c:v>
                </c:pt>
                <c:pt idx="117">
                  <c:v>1.5</c:v>
                </c:pt>
                <c:pt idx="118">
                  <c:v>2.2999999999999998</c:v>
                </c:pt>
                <c:pt idx="119">
                  <c:v>2</c:v>
                </c:pt>
                <c:pt idx="120">
                  <c:v>2</c:v>
                </c:pt>
                <c:pt idx="121">
                  <c:v>1.8</c:v>
                </c:pt>
                <c:pt idx="122">
                  <c:v>2.1</c:v>
                </c:pt>
                <c:pt idx="123">
                  <c:v>1.8</c:v>
                </c:pt>
                <c:pt idx="124">
                  <c:v>1.8</c:v>
                </c:pt>
                <c:pt idx="125">
                  <c:v>1.8</c:v>
                </c:pt>
                <c:pt idx="126">
                  <c:v>2.1</c:v>
                </c:pt>
                <c:pt idx="127">
                  <c:v>1.6</c:v>
                </c:pt>
                <c:pt idx="128">
                  <c:v>1.9</c:v>
                </c:pt>
                <c:pt idx="129">
                  <c:v>2</c:v>
                </c:pt>
                <c:pt idx="130">
                  <c:v>2.2000000000000002</c:v>
                </c:pt>
                <c:pt idx="131">
                  <c:v>1.5</c:v>
                </c:pt>
                <c:pt idx="132">
                  <c:v>1.4</c:v>
                </c:pt>
                <c:pt idx="133">
                  <c:v>2.2999999999999998</c:v>
                </c:pt>
                <c:pt idx="134">
                  <c:v>2.4</c:v>
                </c:pt>
                <c:pt idx="135">
                  <c:v>1.8</c:v>
                </c:pt>
                <c:pt idx="136">
                  <c:v>1.8</c:v>
                </c:pt>
                <c:pt idx="137">
                  <c:v>2.1</c:v>
                </c:pt>
                <c:pt idx="138">
                  <c:v>2.4</c:v>
                </c:pt>
                <c:pt idx="139">
                  <c:v>2.2999999999999998</c:v>
                </c:pt>
                <c:pt idx="140">
                  <c:v>2.2999999999999998</c:v>
                </c:pt>
                <c:pt idx="141">
                  <c:v>2.5</c:v>
                </c:pt>
                <c:pt idx="142">
                  <c:v>2.2999999999999998</c:v>
                </c:pt>
                <c:pt idx="143">
                  <c:v>1.9</c:v>
                </c:pt>
                <c:pt idx="144">
                  <c:v>2</c:v>
                </c:pt>
                <c:pt idx="145">
                  <c:v>2.2999999999999998</c:v>
                </c:pt>
                <c:pt idx="146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3-4A18-B038-1FB379435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226767"/>
        <c:axId val="1151227727"/>
      </c:scatterChart>
      <c:valAx>
        <c:axId val="115122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227727"/>
        <c:crosses val="autoZero"/>
        <c:crossBetween val="midCat"/>
      </c:valAx>
      <c:valAx>
        <c:axId val="11512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22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Distribution of Sepal_length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Sepal_length</a:t>
          </a:r>
        </a:p>
      </cx:txPr>
    </cx:title>
    <cx:plotArea>
      <cx:plotAreaRegion>
        <cx:series layoutId="clusteredColumn" uniqueId="{E4257598-2916-4317-9E39-650721AC19F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Distribution of Sepal_width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B5CE67C4-7D8A-4F6B-A852-FC5799F2B8C7}">
          <cx:tx>
            <cx:txData>
              <cx:f>_xlchart.v1.2</cx:f>
              <cx:v>sepal_width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Distribution of Petal_length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Petal_length</a:t>
          </a:r>
        </a:p>
      </cx:txPr>
    </cx:title>
    <cx:plotArea>
      <cx:plotAreaRegion>
        <cx:series layoutId="clusteredColumn" uniqueId="{3121AC9C-0E25-4AD6-82B6-F6176B14163A}">
          <cx:tx>
            <cx:txData>
              <cx:f>_xlchart.v1.5</cx:f>
              <cx:v>petal_length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Petal_width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Petal_width</a:t>
          </a:r>
        </a:p>
      </cx:txPr>
    </cx:title>
    <cx:plotArea>
      <cx:plotAreaRegion>
        <cx:series layoutId="clusteredColumn" uniqueId="{FF22F189-5609-4D7F-8E92-6A7928210BA9}">
          <cx:tx>
            <cx:txData>
              <cx:f>_xlchart.v1.0</cx:f>
              <cx:v>petal_width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5282689-758B-4A05-ACC4-0614C3327A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E3400D8-7A05-4750-A51C-8CA2A41C05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14</xdr:row>
      <xdr:rowOff>180974</xdr:rowOff>
    </xdr:from>
    <xdr:to>
      <xdr:col>7</xdr:col>
      <xdr:colOff>266700</xdr:colOff>
      <xdr:row>29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C4289F0-E7C1-4D84-A58F-357DA64C26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47974"/>
              <a:ext cx="45339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2D3C4AB-230F-4CAE-B76A-DF74B580BF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285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12871</xdr:colOff>
      <xdr:row>0</xdr:row>
      <xdr:rowOff>0</xdr:rowOff>
    </xdr:from>
    <xdr:to>
      <xdr:col>23</xdr:col>
      <xdr:colOff>350107</xdr:colOff>
      <xdr:row>14</xdr:row>
      <xdr:rowOff>40159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4A16A2-6883-4194-A4FE-41B776F77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23</xdr:col>
      <xdr:colOff>337236</xdr:colOff>
      <xdr:row>29</xdr:row>
      <xdr:rowOff>40160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FE7A5B1-1C74-4E59-940C-064C94B21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5153F7-22E8-4658-A813-3FF648CBF8CF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sepal_length" tableColumnId="1"/>
      <queryTableField id="2" name="sepal_width" tableColumnId="2"/>
      <queryTableField id="3" name="petal_length" tableColumnId="3"/>
      <queryTableField id="4" name="petal_width" tableColumnId="4"/>
      <queryTableField id="5" name="species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1E8B969-A150-4DB4-B7DB-B4582F328460}" autoFormatId="16" applyNumberFormats="0" applyBorderFormats="0" applyFontFormats="0" applyPatternFormats="0" applyAlignmentFormats="0" applyWidthHeightFormats="0">
  <queryTableRefresh nextId="21">
    <queryTableFields count="20">
      <queryTableField id="1" name="State" tableColumnId="1"/>
      <queryTableField id="2" name="Account length" tableColumnId="2"/>
      <queryTableField id="3" name="Area code" tableColumnId="3"/>
      <queryTableField id="4" name="International plan" tableColumnId="4"/>
      <queryTableField id="5" name="Voice mail plan" tableColumnId="5"/>
      <queryTableField id="6" name="Number vmail messages" tableColumnId="6"/>
      <queryTableField id="7" name="Total day minutes" tableColumnId="7"/>
      <queryTableField id="8" name="Total day calls" tableColumnId="8"/>
      <queryTableField id="9" name="Total day charge" tableColumnId="9"/>
      <queryTableField id="10" name="Total eve minutes" tableColumnId="10"/>
      <queryTableField id="11" name="Total eve calls" tableColumnId="11"/>
      <queryTableField id="12" name="Total eve charge" tableColumnId="12"/>
      <queryTableField id="13" name="Total night minutes" tableColumnId="13"/>
      <queryTableField id="14" name="Total night calls" tableColumnId="14"/>
      <queryTableField id="15" name="Total night charge" tableColumnId="15"/>
      <queryTableField id="16" name="Total intl minutes" tableColumnId="16"/>
      <queryTableField id="17" name="Total intl calls" tableColumnId="17"/>
      <queryTableField id="18" name="Total intl charge" tableColumnId="18"/>
      <queryTableField id="19" name="Customer service calls" tableColumnId="19"/>
      <queryTableField id="20" name="Chur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4B9C2C-0ED1-4E6F-B9D1-CA68E527C46B}" name="_1__iris" displayName="_1__iris" ref="A1:I149" tableType="queryTable" totalsRowCount="1">
  <autoFilter ref="A1:I148" xr:uid="{D64B9C2C-0ED1-4E6F-B9D1-CA68E527C46B}"/>
  <tableColumns count="9">
    <tableColumn id="1" xr3:uid="{33AC28CF-8CCE-44B9-BE01-0EBB7F8AC172}" uniqueName="1" name="sepal_length" queryTableFieldId="1"/>
    <tableColumn id="2" xr3:uid="{E84EFBC2-5AD7-4FDD-9C75-4D9DBBB6DC22}" uniqueName="2" name="sepal_width" queryTableFieldId="2"/>
    <tableColumn id="3" xr3:uid="{A0B80275-F40E-435F-941B-BCA728D33CF2}" uniqueName="3" name="petal_length" queryTableFieldId="3"/>
    <tableColumn id="4" xr3:uid="{4F9DE0D0-9626-4656-8BEC-0D6FE36F2989}" uniqueName="4" name="petal_width" queryTableFieldId="4"/>
    <tableColumn id="5" xr3:uid="{BD9227B5-3D4D-4F1C-8CCA-D6CCBF691FB0}" uniqueName="5" name="species" queryTableFieldId="5" dataDxfId="8"/>
    <tableColumn id="6" xr3:uid="{6A698AB7-756A-46EF-9557-1D40888EF177}" uniqueName="6" name="sepal_length_normalized" queryTableFieldId="6" dataDxfId="7" totalsRowDxfId="6">
      <calculatedColumnFormula>(A2-MIN($A$2:$A$148))/(MAX($A$2:$A$148)-MIN($A$2:$A$148))</calculatedColumnFormula>
    </tableColumn>
    <tableColumn id="7" xr3:uid="{F17908C8-EFA8-443A-AD30-F8333154515D}" uniqueName="7" name="sepal_width_normalized" queryTableFieldId="7" dataDxfId="5" totalsRowDxfId="4">
      <calculatedColumnFormula>(B2-MIN($B$2:$B$148))/(MAX($B$2:$B$148)-MIN($B$2:$B$148))</calculatedColumnFormula>
    </tableColumn>
    <tableColumn id="8" xr3:uid="{4910BAE9-99C9-40E1-A942-AD5680ABF1FB}" uniqueName="8" name="petal_length_normalized" queryTableFieldId="8" dataDxfId="3" totalsRowDxfId="2">
      <calculatedColumnFormula>(C2-MIN($C$2:C$148))/(MAX($C$2:$C$148)-MIN($C$2:$C$148))</calculatedColumnFormula>
    </tableColumn>
    <tableColumn id="9" xr3:uid="{555AEDB9-8F0A-4CE6-A47F-B54684A3E376}" uniqueName="9" name="petal_width_normalized" queryTableFieldId="9" dataDxfId="1" totalsRowDxfId="0">
      <calculatedColumnFormula>(D2-MIN($D$2:D$148))/(MAX($D$2:$D$148)-MIN($D$2:$D$148))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E5DDD-357E-4AB4-AE6A-DE28FB45B8DC}" name="churn_bigml_80" displayName="churn_bigml_80" ref="A1:T2668" tableType="queryTable" totalsRowCount="1">
  <autoFilter ref="A1:T2667" xr:uid="{F92E5DDD-357E-4AB4-AE6A-DE28FB45B8DC}"/>
  <tableColumns count="20">
    <tableColumn id="1" xr3:uid="{CF0E9CE8-67A8-45CB-AD09-DF57C295FE1E}" uniqueName="1" name="State" queryTableFieldId="1" dataDxfId="11"/>
    <tableColumn id="2" xr3:uid="{4C771518-BD77-46C9-ADBC-EC7BAD04F34B}" uniqueName="2" name="Account length" queryTableFieldId="2"/>
    <tableColumn id="3" xr3:uid="{81AE3E75-884E-4FC7-B6DE-A472055703C8}" uniqueName="3" name="Area code" queryTableFieldId="3"/>
    <tableColumn id="4" xr3:uid="{9B172ECB-2B01-4688-BCFE-7E8B71A328DA}" uniqueName="4" name="International plan" queryTableFieldId="4" dataDxfId="10"/>
    <tableColumn id="5" xr3:uid="{E1DB5D4F-6249-4579-8EC1-4C05400C7049}" uniqueName="5" name="Voice mail plan" queryTableFieldId="5" dataDxfId="9"/>
    <tableColumn id="6" xr3:uid="{34B7BDC2-366A-449C-AD9C-09C214691DD3}" uniqueName="6" name="Number vmail messages" queryTableFieldId="6"/>
    <tableColumn id="7" xr3:uid="{2D5138EB-3FE2-4A9B-8D3A-687B1D8D6FA8}" uniqueName="7" name="Total day minutes" queryTableFieldId="7"/>
    <tableColumn id="8" xr3:uid="{2ACD5038-9FAB-470D-8F05-BAC44888F7FA}" uniqueName="8" name="Total day calls" queryTableFieldId="8"/>
    <tableColumn id="9" xr3:uid="{FCE7113D-DF31-46E6-8D62-F1EAECCDCBEF}" uniqueName="9" name="Total day charge" queryTableFieldId="9"/>
    <tableColumn id="10" xr3:uid="{A0F4A843-CA4D-41F2-B582-09A2F40F9B2E}" uniqueName="10" name="Total eve minutes" queryTableFieldId="10"/>
    <tableColumn id="11" xr3:uid="{6E872DD9-D271-421A-BFB2-1EC4406E0D5B}" uniqueName="11" name="Total eve calls" queryTableFieldId="11"/>
    <tableColumn id="12" xr3:uid="{12BE7B22-1C14-4504-BADF-5828EF031601}" uniqueName="12" name="Total eve charge" queryTableFieldId="12"/>
    <tableColumn id="13" xr3:uid="{93C2D924-027A-4DA1-9013-C67D4897FFB6}" uniqueName="13" name="Total night minutes" queryTableFieldId="13"/>
    <tableColumn id="14" xr3:uid="{4A16BC7C-2953-475C-A126-002457EE4E7D}" uniqueName="14" name="Total night calls" queryTableFieldId="14"/>
    <tableColumn id="15" xr3:uid="{352A6F3D-2346-4191-B56A-36055416C9F0}" uniqueName="15" name="Total night charge" queryTableFieldId="15"/>
    <tableColumn id="16" xr3:uid="{B93496B4-E68F-4962-94AB-9D84E7EEA86C}" uniqueName="16" name="Total intl minutes" queryTableFieldId="16"/>
    <tableColumn id="17" xr3:uid="{5A16A54E-F986-44A0-9785-FAE9EA1E24BB}" uniqueName="17" name="Total intl calls" queryTableFieldId="17"/>
    <tableColumn id="18" xr3:uid="{675477B5-DC0A-4B5C-9008-712AE9404C00}" uniqueName="18" name="Total intl charge" queryTableFieldId="18"/>
    <tableColumn id="19" xr3:uid="{0DD17DD3-8634-48DE-B298-4D91662868BA}" uniqueName="19" name="Customer service calls" queryTableFieldId="19"/>
    <tableColumn id="20" xr3:uid="{13C46A5A-16A2-47EE-AF4C-68DEBBD9C23D}" uniqueName="20" name="Churn" queryTableFieldId="2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6205748F-65A2-42B3-BB52-DD11876C2EDE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C9CDAB7-6180-4178-B13A-6325EB199FB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3872912-549e-456a-b924-0930c247bfaf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5A9CC8D-6720-4B68-A9C0-BEB36F611F44}">
  <we:reference id="wa200006575" version="1.0.0.8" store="en-U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FDC4-09E6-40AD-A748-192BAEF9F67E}">
  <dimension ref="A1:I150"/>
  <sheetViews>
    <sheetView topLeftCell="A139" zoomScale="121" zoomScaleNormal="166" workbookViewId="0">
      <selection activeCell="A149" sqref="A149:L150"/>
    </sheetView>
  </sheetViews>
  <sheetFormatPr defaultRowHeight="15" x14ac:dyDescent="0.25"/>
  <cols>
    <col min="1" max="1" width="14.7109375" bestFit="1" customWidth="1"/>
    <col min="2" max="2" width="14" bestFit="1" customWidth="1"/>
    <col min="3" max="3" width="14.42578125" bestFit="1" customWidth="1"/>
    <col min="4" max="4" width="13.7109375" bestFit="1" customWidth="1"/>
    <col min="5" max="5" width="10.28515625" bestFit="1" customWidth="1"/>
    <col min="6" max="6" width="25.5703125" style="2" bestFit="1" customWidth="1"/>
    <col min="7" max="7" width="25.28515625" style="2" bestFit="1" customWidth="1"/>
    <col min="8" max="8" width="25.7109375" bestFit="1" customWidth="1"/>
    <col min="9" max="9" width="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82</v>
      </c>
      <c r="G1" s="2" t="s">
        <v>81</v>
      </c>
      <c r="H1" t="s">
        <v>83</v>
      </c>
      <c r="I1" t="s">
        <v>84</v>
      </c>
    </row>
    <row r="2" spans="1:9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  <c r="F2" s="2">
        <f>(A2-MIN($A$2:$A$148))/(MAX($A$2:$A$148)-MIN($A$2:$A$148))</f>
        <v>0.22222222222222213</v>
      </c>
      <c r="G2" s="2">
        <f t="shared" ref="G2:G33" si="0">(B2-MIN($B$2:$B$148))/(MAX($B$2:$B$148)-MIN($B$2:$B$148))</f>
        <v>0.62499999999999989</v>
      </c>
      <c r="H2" s="2">
        <f>(C2-MIN($C$2:C$148))/(MAX($C$2:$C$148)-MIN($C$2:$C$148))</f>
        <v>6.7796610169491511E-2</v>
      </c>
      <c r="I2" s="2">
        <f>(D2-MIN($D$2:D$148))/(MAX($D$2:$D$148)-MIN($D$2:$D$148))</f>
        <v>4.1666666666666671E-2</v>
      </c>
    </row>
    <row r="3" spans="1:9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  <c r="F3" s="2">
        <f t="shared" ref="F3:F33" si="1">(A3-MIN($A$2:$A$148))/(MAX($A$2:$A$148)-MIN($A$2:$A$148))</f>
        <v>0.1666666666666668</v>
      </c>
      <c r="G3" s="2">
        <f t="shared" si="0"/>
        <v>0.41666666666666663</v>
      </c>
      <c r="H3" s="2">
        <f>(C3-MIN($C$2:C$148))/(MAX($C$2:$C$148)-MIN($C$2:$C$148))</f>
        <v>6.7796610169491511E-2</v>
      </c>
      <c r="I3" s="2">
        <f>(D3-MIN($D$2:D$148))/(MAX($D$2:$D$148)-MIN($D$2:$D$148))</f>
        <v>4.1666666666666671E-2</v>
      </c>
    </row>
    <row r="4" spans="1:9" x14ac:dyDescent="0.25">
      <c r="A4">
        <v>4.7</v>
      </c>
      <c r="B4">
        <v>3.2</v>
      </c>
      <c r="C4">
        <v>1.3</v>
      </c>
      <c r="D4">
        <v>0.2</v>
      </c>
      <c r="E4" t="s">
        <v>5</v>
      </c>
      <c r="F4" s="2">
        <f t="shared" si="1"/>
        <v>0.11111111111111119</v>
      </c>
      <c r="G4" s="2">
        <f t="shared" si="0"/>
        <v>0.5</v>
      </c>
      <c r="H4" s="2">
        <f>(C4-MIN($C$2:C$148))/(MAX($C$2:$C$148)-MIN($C$2:$C$148))</f>
        <v>5.0847457627118647E-2</v>
      </c>
      <c r="I4" s="2">
        <f>(D4-MIN($D$2:D$148))/(MAX($D$2:$D$148)-MIN($D$2:$D$148))</f>
        <v>4.1666666666666671E-2</v>
      </c>
    </row>
    <row r="5" spans="1:9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  <c r="F5" s="2">
        <f t="shared" si="1"/>
        <v>8.3333333333333273E-2</v>
      </c>
      <c r="G5" s="2">
        <f t="shared" si="0"/>
        <v>0.45833333333333331</v>
      </c>
      <c r="H5" s="2">
        <f>(C5-MIN($C$2:C$148))/(MAX($C$2:$C$148)-MIN($C$2:$C$148))</f>
        <v>8.4745762711864403E-2</v>
      </c>
      <c r="I5" s="2">
        <f>(D5-MIN($D$2:D$148))/(MAX($D$2:$D$148)-MIN($D$2:$D$148))</f>
        <v>4.1666666666666671E-2</v>
      </c>
    </row>
    <row r="6" spans="1:9" x14ac:dyDescent="0.25">
      <c r="A6">
        <v>5</v>
      </c>
      <c r="B6">
        <v>3.6</v>
      </c>
      <c r="C6">
        <v>1.4</v>
      </c>
      <c r="D6">
        <v>0.2</v>
      </c>
      <c r="E6" t="s">
        <v>5</v>
      </c>
      <c r="F6" s="2">
        <f t="shared" si="1"/>
        <v>0.19444444444444448</v>
      </c>
      <c r="G6" s="2">
        <f t="shared" si="0"/>
        <v>0.66666666666666663</v>
      </c>
      <c r="H6" s="2">
        <f>(C6-MIN($C$2:C$148))/(MAX($C$2:$C$148)-MIN($C$2:$C$148))</f>
        <v>6.7796610169491511E-2</v>
      </c>
      <c r="I6" s="2">
        <f>(D6-MIN($D$2:D$148))/(MAX($D$2:$D$148)-MIN($D$2:$D$148))</f>
        <v>4.1666666666666671E-2</v>
      </c>
    </row>
    <row r="7" spans="1:9" x14ac:dyDescent="0.25">
      <c r="A7">
        <v>5.4</v>
      </c>
      <c r="B7">
        <v>3.9</v>
      </c>
      <c r="C7">
        <v>1.7</v>
      </c>
      <c r="D7">
        <v>0.4</v>
      </c>
      <c r="E7" t="s">
        <v>5</v>
      </c>
      <c r="F7" s="2">
        <f t="shared" si="1"/>
        <v>0.30555555555555564</v>
      </c>
      <c r="G7" s="2">
        <f t="shared" si="0"/>
        <v>0.79166666666666652</v>
      </c>
      <c r="H7" s="2">
        <f>(C7-MIN($C$2:C$148))/(MAX($C$2:$C$148)-MIN($C$2:$C$148))</f>
        <v>0.11864406779661016</v>
      </c>
      <c r="I7" s="2">
        <f>(D7-MIN($D$2:D$148))/(MAX($D$2:$D$148)-MIN($D$2:$D$148))</f>
        <v>0.12500000000000003</v>
      </c>
    </row>
    <row r="8" spans="1:9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  <c r="F8" s="2">
        <f t="shared" si="1"/>
        <v>8.3333333333333273E-2</v>
      </c>
      <c r="G8" s="2">
        <f t="shared" si="0"/>
        <v>0.58333333333333326</v>
      </c>
      <c r="H8" s="2">
        <f>(C8-MIN($C$2:C$148))/(MAX($C$2:$C$148)-MIN($C$2:$C$148))</f>
        <v>6.7796610169491511E-2</v>
      </c>
      <c r="I8" s="2">
        <f>(D8-MIN($D$2:D$148))/(MAX($D$2:$D$148)-MIN($D$2:$D$148))</f>
        <v>8.3333333333333329E-2</v>
      </c>
    </row>
    <row r="9" spans="1:9" x14ac:dyDescent="0.25">
      <c r="A9">
        <v>5</v>
      </c>
      <c r="B9">
        <v>3.4</v>
      </c>
      <c r="C9">
        <v>1.5</v>
      </c>
      <c r="D9">
        <v>0.2</v>
      </c>
      <c r="E9" t="s">
        <v>5</v>
      </c>
      <c r="F9" s="2">
        <f t="shared" si="1"/>
        <v>0.19444444444444448</v>
      </c>
      <c r="G9" s="2">
        <f t="shared" si="0"/>
        <v>0.58333333333333326</v>
      </c>
      <c r="H9" s="2">
        <f>(C9-MIN($C$2:C$148))/(MAX($C$2:$C$148)-MIN($C$2:$C$148))</f>
        <v>8.4745762711864403E-2</v>
      </c>
      <c r="I9" s="2">
        <f>(D9-MIN($D$2:D$148))/(MAX($D$2:$D$148)-MIN($D$2:$D$148))</f>
        <v>4.1666666666666671E-2</v>
      </c>
    </row>
    <row r="10" spans="1:9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  <c r="F10" s="2">
        <f t="shared" si="1"/>
        <v>2.7777777777777922E-2</v>
      </c>
      <c r="G10" s="2">
        <f t="shared" si="0"/>
        <v>0.37499999999999989</v>
      </c>
      <c r="H10" s="2">
        <f>(C10-MIN($C$2:C$148))/(MAX($C$2:$C$148)-MIN($C$2:$C$148))</f>
        <v>6.7796610169491511E-2</v>
      </c>
      <c r="I10" s="2">
        <f>(D10-MIN($D$2:D$148))/(MAX($D$2:$D$148)-MIN($D$2:$D$148))</f>
        <v>4.1666666666666671E-2</v>
      </c>
    </row>
    <row r="11" spans="1:9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  <c r="F11" s="2">
        <f t="shared" si="1"/>
        <v>0.1666666666666668</v>
      </c>
      <c r="G11" s="2">
        <f t="shared" si="0"/>
        <v>0.45833333333333331</v>
      </c>
      <c r="H11" s="2">
        <f>(C11-MIN($C$2:C$148))/(MAX($C$2:$C$148)-MIN($C$2:$C$148))</f>
        <v>8.4745762711864403E-2</v>
      </c>
      <c r="I11" s="2">
        <f>(D11-MIN($D$2:D$148))/(MAX($D$2:$D$148)-MIN($D$2:$D$148))</f>
        <v>0</v>
      </c>
    </row>
    <row r="12" spans="1:9" x14ac:dyDescent="0.25">
      <c r="A12">
        <v>5.4</v>
      </c>
      <c r="B12">
        <v>3.7</v>
      </c>
      <c r="C12">
        <v>1.5</v>
      </c>
      <c r="D12">
        <v>0.2</v>
      </c>
      <c r="E12" t="s">
        <v>5</v>
      </c>
      <c r="F12" s="2">
        <f t="shared" si="1"/>
        <v>0.30555555555555564</v>
      </c>
      <c r="G12" s="2">
        <f t="shared" si="0"/>
        <v>0.70833333333333326</v>
      </c>
      <c r="H12" s="2">
        <f>(C12-MIN($C$2:C$148))/(MAX($C$2:$C$148)-MIN($C$2:$C$148))</f>
        <v>8.4745762711864403E-2</v>
      </c>
      <c r="I12" s="2">
        <f>(D12-MIN($D$2:D$148))/(MAX($D$2:$D$148)-MIN($D$2:$D$148))</f>
        <v>4.1666666666666671E-2</v>
      </c>
    </row>
    <row r="13" spans="1:9" x14ac:dyDescent="0.25">
      <c r="A13">
        <v>4.8</v>
      </c>
      <c r="B13">
        <v>3.4</v>
      </c>
      <c r="C13">
        <v>1.6</v>
      </c>
      <c r="D13">
        <v>0.2</v>
      </c>
      <c r="E13" t="s">
        <v>5</v>
      </c>
      <c r="F13" s="2">
        <f t="shared" si="1"/>
        <v>0.13888888888888887</v>
      </c>
      <c r="G13" s="2">
        <f t="shared" si="0"/>
        <v>0.58333333333333326</v>
      </c>
      <c r="H13" s="2">
        <f>(C13-MIN($C$2:C$148))/(MAX($C$2:$C$148)-MIN($C$2:$C$148))</f>
        <v>0.10169491525423729</v>
      </c>
      <c r="I13" s="2">
        <f>(D13-MIN($D$2:D$148))/(MAX($D$2:$D$148)-MIN($D$2:$D$148))</f>
        <v>4.1666666666666671E-2</v>
      </c>
    </row>
    <row r="14" spans="1:9" x14ac:dyDescent="0.25">
      <c r="A14">
        <v>4.8</v>
      </c>
      <c r="B14">
        <v>3</v>
      </c>
      <c r="C14">
        <v>1.4</v>
      </c>
      <c r="D14">
        <v>0.1</v>
      </c>
      <c r="E14" t="s">
        <v>5</v>
      </c>
      <c r="F14" s="2">
        <f t="shared" si="1"/>
        <v>0.13888888888888887</v>
      </c>
      <c r="G14" s="2">
        <f t="shared" si="0"/>
        <v>0.41666666666666663</v>
      </c>
      <c r="H14" s="2">
        <f>(C14-MIN($C$2:C$148))/(MAX($C$2:$C$148)-MIN($C$2:$C$148))</f>
        <v>6.7796610169491511E-2</v>
      </c>
      <c r="I14" s="2">
        <f>(D14-MIN($D$2:D$148))/(MAX($D$2:$D$148)-MIN($D$2:$D$148))</f>
        <v>0</v>
      </c>
    </row>
    <row r="15" spans="1:9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  <c r="F15" s="2">
        <f t="shared" si="1"/>
        <v>0</v>
      </c>
      <c r="G15" s="2">
        <f t="shared" si="0"/>
        <v>0.41666666666666663</v>
      </c>
      <c r="H15" s="2">
        <f>(C15-MIN($C$2:C$148))/(MAX($C$2:$C$148)-MIN($C$2:$C$148))</f>
        <v>1.6949152542372895E-2</v>
      </c>
      <c r="I15" s="2">
        <f>(D15-MIN($D$2:D$148))/(MAX($D$2:$D$148)-MIN($D$2:$D$148))</f>
        <v>0</v>
      </c>
    </row>
    <row r="16" spans="1:9" x14ac:dyDescent="0.25">
      <c r="A16">
        <v>5.8</v>
      </c>
      <c r="B16">
        <v>4</v>
      </c>
      <c r="C16">
        <v>1.2</v>
      </c>
      <c r="D16">
        <v>0.2</v>
      </c>
      <c r="E16" t="s">
        <v>5</v>
      </c>
      <c r="F16" s="2">
        <f t="shared" si="1"/>
        <v>0.41666666666666663</v>
      </c>
      <c r="G16" s="2">
        <f t="shared" si="0"/>
        <v>0.83333333333333326</v>
      </c>
      <c r="H16" s="2">
        <f>(C16-MIN($C$2:C$148))/(MAX($C$2:$C$148)-MIN($C$2:$C$148))</f>
        <v>3.3898305084745756E-2</v>
      </c>
      <c r="I16" s="2">
        <f>(D16-MIN($D$2:D$148))/(MAX($D$2:$D$148)-MIN($D$2:$D$148))</f>
        <v>4.1666666666666671E-2</v>
      </c>
    </row>
    <row r="17" spans="1:9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  <c r="F17" s="2">
        <f t="shared" si="1"/>
        <v>0.38888888888888895</v>
      </c>
      <c r="G17" s="2">
        <f t="shared" si="0"/>
        <v>1</v>
      </c>
      <c r="H17" s="2">
        <f>(C17-MIN($C$2:C$148))/(MAX($C$2:$C$148)-MIN($C$2:$C$148))</f>
        <v>8.4745762711864403E-2</v>
      </c>
      <c r="I17" s="2">
        <f>(D17-MIN($D$2:D$148))/(MAX($D$2:$D$148)-MIN($D$2:$D$148))</f>
        <v>0.12500000000000003</v>
      </c>
    </row>
    <row r="18" spans="1:9" x14ac:dyDescent="0.25">
      <c r="A18">
        <v>5.4</v>
      </c>
      <c r="B18">
        <v>3.9</v>
      </c>
      <c r="C18">
        <v>1.3</v>
      </c>
      <c r="D18">
        <v>0.4</v>
      </c>
      <c r="E18" t="s">
        <v>5</v>
      </c>
      <c r="F18" s="2">
        <f t="shared" si="1"/>
        <v>0.30555555555555564</v>
      </c>
      <c r="G18" s="2">
        <f t="shared" si="0"/>
        <v>0.79166666666666652</v>
      </c>
      <c r="H18" s="2">
        <f>(C18-MIN($C$2:C$148))/(MAX($C$2:$C$148)-MIN($C$2:$C$148))</f>
        <v>5.0847457627118647E-2</v>
      </c>
      <c r="I18" s="2">
        <f>(D18-MIN($D$2:D$148))/(MAX($D$2:$D$148)-MIN($D$2:$D$148))</f>
        <v>0.12500000000000003</v>
      </c>
    </row>
    <row r="19" spans="1:9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  <c r="F19" s="2">
        <f t="shared" si="1"/>
        <v>0.22222222222222213</v>
      </c>
      <c r="G19" s="2">
        <f t="shared" si="0"/>
        <v>0.62499999999999989</v>
      </c>
      <c r="H19" s="2">
        <f>(C19-MIN($C$2:C$148))/(MAX($C$2:$C$148)-MIN($C$2:$C$148))</f>
        <v>6.7796610169491511E-2</v>
      </c>
      <c r="I19" s="2">
        <f>(D19-MIN($D$2:D$148))/(MAX($D$2:$D$148)-MIN($D$2:$D$148))</f>
        <v>8.3333333333333329E-2</v>
      </c>
    </row>
    <row r="20" spans="1:9" x14ac:dyDescent="0.25">
      <c r="A20">
        <v>5.7</v>
      </c>
      <c r="B20">
        <v>3.8</v>
      </c>
      <c r="C20">
        <v>1.7</v>
      </c>
      <c r="D20">
        <v>0.3</v>
      </c>
      <c r="E20" t="s">
        <v>5</v>
      </c>
      <c r="F20" s="2">
        <f t="shared" si="1"/>
        <v>0.38888888888888895</v>
      </c>
      <c r="G20" s="2">
        <f t="shared" si="0"/>
        <v>0.74999999999999978</v>
      </c>
      <c r="H20" s="2">
        <f>(C20-MIN($C$2:C$148))/(MAX($C$2:$C$148)-MIN($C$2:$C$148))</f>
        <v>0.11864406779661016</v>
      </c>
      <c r="I20" s="2">
        <f>(D20-MIN($D$2:D$148))/(MAX($D$2:$D$148)-MIN($D$2:$D$148))</f>
        <v>8.3333333333333329E-2</v>
      </c>
    </row>
    <row r="21" spans="1:9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  <c r="F21" s="2">
        <f t="shared" si="1"/>
        <v>0.22222222222222213</v>
      </c>
      <c r="G21" s="2">
        <f t="shared" si="0"/>
        <v>0.74999999999999978</v>
      </c>
      <c r="H21" s="2">
        <f>(C21-MIN($C$2:C$148))/(MAX($C$2:$C$148)-MIN($C$2:$C$148))</f>
        <v>8.4745762711864403E-2</v>
      </c>
      <c r="I21" s="2">
        <f>(D21-MIN($D$2:D$148))/(MAX($D$2:$D$148)-MIN($D$2:$D$148))</f>
        <v>8.3333333333333329E-2</v>
      </c>
    </row>
    <row r="22" spans="1:9" x14ac:dyDescent="0.25">
      <c r="A22">
        <v>5.4</v>
      </c>
      <c r="B22">
        <v>3.4</v>
      </c>
      <c r="C22">
        <v>1.7</v>
      </c>
      <c r="D22">
        <v>0.2</v>
      </c>
      <c r="E22" t="s">
        <v>5</v>
      </c>
      <c r="F22" s="2">
        <f t="shared" si="1"/>
        <v>0.30555555555555564</v>
      </c>
      <c r="G22" s="2">
        <f t="shared" si="0"/>
        <v>0.58333333333333326</v>
      </c>
      <c r="H22" s="2">
        <f>(C22-MIN($C$2:C$148))/(MAX($C$2:$C$148)-MIN($C$2:$C$148))</f>
        <v>0.11864406779661016</v>
      </c>
      <c r="I22" s="2">
        <f>(D22-MIN($D$2:D$148))/(MAX($D$2:$D$148)-MIN($D$2:$D$148))</f>
        <v>4.1666666666666671E-2</v>
      </c>
    </row>
    <row r="23" spans="1:9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  <c r="F23" s="2">
        <f t="shared" si="1"/>
        <v>0.22222222222222213</v>
      </c>
      <c r="G23" s="2">
        <f t="shared" si="0"/>
        <v>0.70833333333333326</v>
      </c>
      <c r="H23" s="2">
        <f>(C23-MIN($C$2:C$148))/(MAX($C$2:$C$148)-MIN($C$2:$C$148))</f>
        <v>8.4745762711864403E-2</v>
      </c>
      <c r="I23" s="2">
        <f>(D23-MIN($D$2:D$148))/(MAX($D$2:$D$148)-MIN($D$2:$D$148))</f>
        <v>0.12500000000000003</v>
      </c>
    </row>
    <row r="24" spans="1:9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  <c r="F24" s="2">
        <f t="shared" si="1"/>
        <v>8.3333333333333273E-2</v>
      </c>
      <c r="G24" s="2">
        <f t="shared" si="0"/>
        <v>0.66666666666666663</v>
      </c>
      <c r="H24" s="2">
        <f>(C24-MIN($C$2:C$148))/(MAX($C$2:$C$148)-MIN($C$2:$C$148))</f>
        <v>0</v>
      </c>
      <c r="I24" s="2">
        <f>(D24-MIN($D$2:D$148))/(MAX($D$2:$D$148)-MIN($D$2:$D$148))</f>
        <v>4.1666666666666671E-2</v>
      </c>
    </row>
    <row r="25" spans="1:9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  <c r="F25" s="2">
        <f t="shared" si="1"/>
        <v>0.22222222222222213</v>
      </c>
      <c r="G25" s="2">
        <f t="shared" si="0"/>
        <v>0.54166666666666652</v>
      </c>
      <c r="H25" s="2">
        <f>(C25-MIN($C$2:C$148))/(MAX($C$2:$C$148)-MIN($C$2:$C$148))</f>
        <v>0.11864406779661016</v>
      </c>
      <c r="I25" s="2">
        <f>(D25-MIN($D$2:D$148))/(MAX($D$2:$D$148)-MIN($D$2:$D$148))</f>
        <v>0.16666666666666669</v>
      </c>
    </row>
    <row r="26" spans="1:9" x14ac:dyDescent="0.25">
      <c r="A26">
        <v>4.8</v>
      </c>
      <c r="B26">
        <v>3.4</v>
      </c>
      <c r="C26">
        <v>1.9</v>
      </c>
      <c r="D26">
        <v>0.2</v>
      </c>
      <c r="E26" t="s">
        <v>5</v>
      </c>
      <c r="F26" s="2">
        <f t="shared" si="1"/>
        <v>0.13888888888888887</v>
      </c>
      <c r="G26" s="2">
        <f t="shared" si="0"/>
        <v>0.58333333333333326</v>
      </c>
      <c r="H26" s="2">
        <f>(C26-MIN($C$2:C$148))/(MAX($C$2:$C$148)-MIN($C$2:$C$148))</f>
        <v>0.15254237288135591</v>
      </c>
      <c r="I26" s="2">
        <f>(D26-MIN($D$2:D$148))/(MAX($D$2:$D$148)-MIN($D$2:$D$148))</f>
        <v>4.1666666666666671E-2</v>
      </c>
    </row>
    <row r="27" spans="1:9" x14ac:dyDescent="0.25">
      <c r="A27">
        <v>5</v>
      </c>
      <c r="B27">
        <v>3</v>
      </c>
      <c r="C27">
        <v>1.6</v>
      </c>
      <c r="D27">
        <v>0.2</v>
      </c>
      <c r="E27" t="s">
        <v>5</v>
      </c>
      <c r="F27" s="2">
        <f t="shared" si="1"/>
        <v>0.19444444444444448</v>
      </c>
      <c r="G27" s="2">
        <f t="shared" si="0"/>
        <v>0.41666666666666663</v>
      </c>
      <c r="H27" s="2">
        <f>(C27-MIN($C$2:C$148))/(MAX($C$2:$C$148)-MIN($C$2:$C$148))</f>
        <v>0.10169491525423729</v>
      </c>
      <c r="I27" s="2">
        <f>(D27-MIN($D$2:D$148))/(MAX($D$2:$D$148)-MIN($D$2:$D$148))</f>
        <v>4.1666666666666671E-2</v>
      </c>
    </row>
    <row r="28" spans="1:9" x14ac:dyDescent="0.25">
      <c r="A28">
        <v>5</v>
      </c>
      <c r="B28">
        <v>3.4</v>
      </c>
      <c r="C28">
        <v>1.6</v>
      </c>
      <c r="D28">
        <v>0.4</v>
      </c>
      <c r="E28" t="s">
        <v>5</v>
      </c>
      <c r="F28" s="2">
        <f t="shared" si="1"/>
        <v>0.19444444444444448</v>
      </c>
      <c r="G28" s="2">
        <f t="shared" si="0"/>
        <v>0.58333333333333326</v>
      </c>
      <c r="H28" s="2">
        <f>(C28-MIN($C$2:C$148))/(MAX($C$2:$C$148)-MIN($C$2:$C$148))</f>
        <v>0.10169491525423729</v>
      </c>
      <c r="I28" s="2">
        <f>(D28-MIN($D$2:D$148))/(MAX($D$2:$D$148)-MIN($D$2:$D$148))</f>
        <v>0.12500000000000003</v>
      </c>
    </row>
    <row r="29" spans="1:9" x14ac:dyDescent="0.25">
      <c r="A29">
        <v>5.2</v>
      </c>
      <c r="B29">
        <v>3.5</v>
      </c>
      <c r="C29">
        <v>1.5</v>
      </c>
      <c r="D29">
        <v>0.2</v>
      </c>
      <c r="E29" t="s">
        <v>5</v>
      </c>
      <c r="F29" s="2">
        <f t="shared" si="1"/>
        <v>0.25000000000000006</v>
      </c>
      <c r="G29" s="2">
        <f t="shared" si="0"/>
        <v>0.62499999999999989</v>
      </c>
      <c r="H29" s="2">
        <f>(C29-MIN($C$2:C$148))/(MAX($C$2:$C$148)-MIN($C$2:$C$148))</f>
        <v>8.4745762711864403E-2</v>
      </c>
      <c r="I29" s="2">
        <f>(D29-MIN($D$2:D$148))/(MAX($D$2:$D$148)-MIN($D$2:$D$148))</f>
        <v>4.1666666666666671E-2</v>
      </c>
    </row>
    <row r="30" spans="1:9" x14ac:dyDescent="0.25">
      <c r="A30">
        <v>5.2</v>
      </c>
      <c r="B30">
        <v>3.4</v>
      </c>
      <c r="C30">
        <v>1.4</v>
      </c>
      <c r="D30">
        <v>0.2</v>
      </c>
      <c r="E30" t="s">
        <v>5</v>
      </c>
      <c r="F30" s="2">
        <f t="shared" si="1"/>
        <v>0.25000000000000006</v>
      </c>
      <c r="G30" s="2">
        <f t="shared" si="0"/>
        <v>0.58333333333333326</v>
      </c>
      <c r="H30" s="2">
        <f>(C30-MIN($C$2:C$148))/(MAX($C$2:$C$148)-MIN($C$2:$C$148))</f>
        <v>6.7796610169491511E-2</v>
      </c>
      <c r="I30" s="2">
        <f>(D30-MIN($D$2:D$148))/(MAX($D$2:$D$148)-MIN($D$2:$D$148))</f>
        <v>4.1666666666666671E-2</v>
      </c>
    </row>
    <row r="31" spans="1:9" x14ac:dyDescent="0.25">
      <c r="A31">
        <v>4.7</v>
      </c>
      <c r="B31">
        <v>3.2</v>
      </c>
      <c r="C31">
        <v>1.6</v>
      </c>
      <c r="D31">
        <v>0.2</v>
      </c>
      <c r="E31" t="s">
        <v>5</v>
      </c>
      <c r="F31" s="2">
        <f t="shared" si="1"/>
        <v>0.11111111111111119</v>
      </c>
      <c r="G31" s="2">
        <f t="shared" si="0"/>
        <v>0.5</v>
      </c>
      <c r="H31" s="2">
        <f>(C31-MIN($C$2:C$148))/(MAX($C$2:$C$148)-MIN($C$2:$C$148))</f>
        <v>0.10169491525423729</v>
      </c>
      <c r="I31" s="2">
        <f>(D31-MIN($D$2:D$148))/(MAX($D$2:$D$148)-MIN($D$2:$D$148))</f>
        <v>4.1666666666666671E-2</v>
      </c>
    </row>
    <row r="32" spans="1:9" x14ac:dyDescent="0.25">
      <c r="A32">
        <v>4.8</v>
      </c>
      <c r="B32">
        <v>3.1</v>
      </c>
      <c r="C32">
        <v>1.6</v>
      </c>
      <c r="D32">
        <v>0.2</v>
      </c>
      <c r="E32" t="s">
        <v>5</v>
      </c>
      <c r="F32" s="2">
        <f t="shared" si="1"/>
        <v>0.13888888888888887</v>
      </c>
      <c r="G32" s="2">
        <f t="shared" si="0"/>
        <v>0.45833333333333331</v>
      </c>
      <c r="H32" s="2">
        <f>(C32-MIN($C$2:C$148))/(MAX($C$2:$C$148)-MIN($C$2:$C$148))</f>
        <v>0.10169491525423729</v>
      </c>
      <c r="I32" s="2">
        <f>(D32-MIN($D$2:D$148))/(MAX($D$2:$D$148)-MIN($D$2:$D$148))</f>
        <v>4.1666666666666671E-2</v>
      </c>
    </row>
    <row r="33" spans="1:9" x14ac:dyDescent="0.25">
      <c r="A33">
        <v>5.4</v>
      </c>
      <c r="B33">
        <v>3.4</v>
      </c>
      <c r="C33">
        <v>1.5</v>
      </c>
      <c r="D33">
        <v>0.4</v>
      </c>
      <c r="E33" t="s">
        <v>5</v>
      </c>
      <c r="F33" s="2">
        <f t="shared" si="1"/>
        <v>0.30555555555555564</v>
      </c>
      <c r="G33" s="2">
        <f t="shared" si="0"/>
        <v>0.58333333333333326</v>
      </c>
      <c r="H33" s="2">
        <f>(C33-MIN($C$2:C$148))/(MAX($C$2:$C$148)-MIN($C$2:$C$148))</f>
        <v>8.4745762711864403E-2</v>
      </c>
      <c r="I33" s="2">
        <f>(D33-MIN($D$2:D$148))/(MAX($D$2:$D$148)-MIN($D$2:$D$148))</f>
        <v>0.12500000000000003</v>
      </c>
    </row>
    <row r="34" spans="1:9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  <c r="F34" s="2">
        <f t="shared" ref="F34:F65" si="2">(A34-MIN($A$2:$A$148))/(MAX($A$2:$A$148)-MIN($A$2:$A$148))</f>
        <v>0.25000000000000006</v>
      </c>
      <c r="G34" s="2">
        <f t="shared" ref="G34:G65" si="3">(B34-MIN($B$2:$B$148))/(MAX($B$2:$B$148)-MIN($B$2:$B$148))</f>
        <v>0.87499999999999978</v>
      </c>
      <c r="H34" s="2">
        <f>(C34-MIN($C$2:C$148))/(MAX($C$2:$C$148)-MIN($C$2:$C$148))</f>
        <v>8.4745762711864403E-2</v>
      </c>
      <c r="I34" s="2">
        <f>(D34-MIN($D$2:D$148))/(MAX($D$2:$D$148)-MIN($D$2:$D$148))</f>
        <v>0</v>
      </c>
    </row>
    <row r="35" spans="1:9" x14ac:dyDescent="0.25">
      <c r="A35">
        <v>5.5</v>
      </c>
      <c r="B35">
        <v>4.2</v>
      </c>
      <c r="C35">
        <v>1.4</v>
      </c>
      <c r="D35">
        <v>0.2</v>
      </c>
      <c r="E35" t="s">
        <v>5</v>
      </c>
      <c r="F35" s="2">
        <f t="shared" si="2"/>
        <v>0.33333333333333331</v>
      </c>
      <c r="G35" s="2">
        <f t="shared" si="3"/>
        <v>0.91666666666666663</v>
      </c>
      <c r="H35" s="2">
        <f>(C35-MIN($C$2:C$148))/(MAX($C$2:$C$148)-MIN($C$2:$C$148))</f>
        <v>6.7796610169491511E-2</v>
      </c>
      <c r="I35" s="2">
        <f>(D35-MIN($D$2:D$148))/(MAX($D$2:$D$148)-MIN($D$2:$D$148))</f>
        <v>4.1666666666666671E-2</v>
      </c>
    </row>
    <row r="36" spans="1:9" x14ac:dyDescent="0.25">
      <c r="A36">
        <v>5</v>
      </c>
      <c r="B36">
        <v>3.2</v>
      </c>
      <c r="C36">
        <v>1.2</v>
      </c>
      <c r="D36">
        <v>0.2</v>
      </c>
      <c r="E36" t="s">
        <v>5</v>
      </c>
      <c r="F36" s="2">
        <f t="shared" si="2"/>
        <v>0.19444444444444448</v>
      </c>
      <c r="G36" s="2">
        <f t="shared" si="3"/>
        <v>0.5</v>
      </c>
      <c r="H36" s="2">
        <f>(C36-MIN($C$2:C$148))/(MAX($C$2:$C$148)-MIN($C$2:$C$148))</f>
        <v>3.3898305084745756E-2</v>
      </c>
      <c r="I36" s="2">
        <f>(D36-MIN($D$2:D$148))/(MAX($D$2:$D$148)-MIN($D$2:$D$148))</f>
        <v>4.1666666666666671E-2</v>
      </c>
    </row>
    <row r="37" spans="1:9" x14ac:dyDescent="0.25">
      <c r="A37">
        <v>5.5</v>
      </c>
      <c r="B37">
        <v>3.5</v>
      </c>
      <c r="C37">
        <v>1.3</v>
      </c>
      <c r="D37">
        <v>0.2</v>
      </c>
      <c r="E37" t="s">
        <v>5</v>
      </c>
      <c r="F37" s="2">
        <f t="shared" si="2"/>
        <v>0.33333333333333331</v>
      </c>
      <c r="G37" s="2">
        <f t="shared" si="3"/>
        <v>0.62499999999999989</v>
      </c>
      <c r="H37" s="2">
        <f>(C37-MIN($C$2:C$148))/(MAX($C$2:$C$148)-MIN($C$2:$C$148))</f>
        <v>5.0847457627118647E-2</v>
      </c>
      <c r="I37" s="2">
        <f>(D37-MIN($D$2:D$148))/(MAX($D$2:$D$148)-MIN($D$2:$D$148))</f>
        <v>4.1666666666666671E-2</v>
      </c>
    </row>
    <row r="38" spans="1:9" x14ac:dyDescent="0.25">
      <c r="A38">
        <v>4.4000000000000004</v>
      </c>
      <c r="B38">
        <v>3</v>
      </c>
      <c r="C38">
        <v>1.3</v>
      </c>
      <c r="D38">
        <v>0.2</v>
      </c>
      <c r="E38" t="s">
        <v>5</v>
      </c>
      <c r="F38" s="2">
        <f t="shared" si="2"/>
        <v>2.7777777777777922E-2</v>
      </c>
      <c r="G38" s="2">
        <f t="shared" si="3"/>
        <v>0.41666666666666663</v>
      </c>
      <c r="H38" s="2">
        <f>(C38-MIN($C$2:C$148))/(MAX($C$2:$C$148)-MIN($C$2:$C$148))</f>
        <v>5.0847457627118647E-2</v>
      </c>
      <c r="I38" s="2">
        <f>(D38-MIN($D$2:D$148))/(MAX($D$2:$D$148)-MIN($D$2:$D$148))</f>
        <v>4.1666666666666671E-2</v>
      </c>
    </row>
    <row r="39" spans="1:9" x14ac:dyDescent="0.25">
      <c r="A39">
        <v>5.0999999999999996</v>
      </c>
      <c r="B39">
        <v>3.4</v>
      </c>
      <c r="C39">
        <v>1.5</v>
      </c>
      <c r="D39">
        <v>0.2</v>
      </c>
      <c r="E39" t="s">
        <v>5</v>
      </c>
      <c r="F39" s="2">
        <f t="shared" si="2"/>
        <v>0.22222222222222213</v>
      </c>
      <c r="G39" s="2">
        <f t="shared" si="3"/>
        <v>0.58333333333333326</v>
      </c>
      <c r="H39" s="2">
        <f>(C39-MIN($C$2:C$148))/(MAX($C$2:$C$148)-MIN($C$2:$C$148))</f>
        <v>8.4745762711864403E-2</v>
      </c>
      <c r="I39" s="2">
        <f>(D39-MIN($D$2:D$148))/(MAX($D$2:$D$148)-MIN($D$2:$D$148))</f>
        <v>4.1666666666666671E-2</v>
      </c>
    </row>
    <row r="40" spans="1:9" x14ac:dyDescent="0.25">
      <c r="A40">
        <v>5</v>
      </c>
      <c r="B40">
        <v>3.5</v>
      </c>
      <c r="C40">
        <v>1.3</v>
      </c>
      <c r="D40">
        <v>0.3</v>
      </c>
      <c r="E40" t="s">
        <v>5</v>
      </c>
      <c r="F40" s="2">
        <f t="shared" si="2"/>
        <v>0.19444444444444448</v>
      </c>
      <c r="G40" s="2">
        <f t="shared" si="3"/>
        <v>0.62499999999999989</v>
      </c>
      <c r="H40" s="2">
        <f>(C40-MIN($C$2:C$148))/(MAX($C$2:$C$148)-MIN($C$2:$C$148))</f>
        <v>5.0847457627118647E-2</v>
      </c>
      <c r="I40" s="2">
        <f>(D40-MIN($D$2:D$148))/(MAX($D$2:$D$148)-MIN($D$2:$D$148))</f>
        <v>8.3333333333333329E-2</v>
      </c>
    </row>
    <row r="41" spans="1:9" x14ac:dyDescent="0.25">
      <c r="A41">
        <v>4.5</v>
      </c>
      <c r="B41">
        <v>2.2999999999999998</v>
      </c>
      <c r="C41">
        <v>1.3</v>
      </c>
      <c r="D41">
        <v>0.3</v>
      </c>
      <c r="E41" t="s">
        <v>5</v>
      </c>
      <c r="F41" s="2">
        <f t="shared" si="2"/>
        <v>5.5555555555555594E-2</v>
      </c>
      <c r="G41" s="2">
        <f t="shared" si="3"/>
        <v>0.1249999999999999</v>
      </c>
      <c r="H41" s="2">
        <f>(C41-MIN($C$2:C$148))/(MAX($C$2:$C$148)-MIN($C$2:$C$148))</f>
        <v>5.0847457627118647E-2</v>
      </c>
      <c r="I41" s="2">
        <f>(D41-MIN($D$2:D$148))/(MAX($D$2:$D$148)-MIN($D$2:$D$148))</f>
        <v>8.3333333333333329E-2</v>
      </c>
    </row>
    <row r="42" spans="1:9" x14ac:dyDescent="0.25">
      <c r="A42">
        <v>4.4000000000000004</v>
      </c>
      <c r="B42">
        <v>3.2</v>
      </c>
      <c r="C42">
        <v>1.3</v>
      </c>
      <c r="D42">
        <v>0.2</v>
      </c>
      <c r="E42" t="s">
        <v>5</v>
      </c>
      <c r="F42" s="2">
        <f t="shared" si="2"/>
        <v>2.7777777777777922E-2</v>
      </c>
      <c r="G42" s="2">
        <f t="shared" si="3"/>
        <v>0.5</v>
      </c>
      <c r="H42" s="2">
        <f>(C42-MIN($C$2:C$148))/(MAX($C$2:$C$148)-MIN($C$2:$C$148))</f>
        <v>5.0847457627118647E-2</v>
      </c>
      <c r="I42" s="2">
        <f>(D42-MIN($D$2:D$148))/(MAX($D$2:$D$148)-MIN($D$2:$D$148))</f>
        <v>4.1666666666666671E-2</v>
      </c>
    </row>
    <row r="43" spans="1:9" x14ac:dyDescent="0.25">
      <c r="A43">
        <v>5</v>
      </c>
      <c r="B43">
        <v>3.5</v>
      </c>
      <c r="C43">
        <v>1.6</v>
      </c>
      <c r="D43">
        <v>0.6</v>
      </c>
      <c r="E43" t="s">
        <v>5</v>
      </c>
      <c r="F43" s="2">
        <f t="shared" si="2"/>
        <v>0.19444444444444448</v>
      </c>
      <c r="G43" s="2">
        <f t="shared" si="3"/>
        <v>0.62499999999999989</v>
      </c>
      <c r="H43" s="2">
        <f>(C43-MIN($C$2:C$148))/(MAX($C$2:$C$148)-MIN($C$2:$C$148))</f>
        <v>0.10169491525423729</v>
      </c>
      <c r="I43" s="2">
        <f>(D43-MIN($D$2:D$148))/(MAX($D$2:$D$148)-MIN($D$2:$D$148))</f>
        <v>0.20833333333333334</v>
      </c>
    </row>
    <row r="44" spans="1:9" x14ac:dyDescent="0.25">
      <c r="A44">
        <v>5.0999999999999996</v>
      </c>
      <c r="B44">
        <v>3.8</v>
      </c>
      <c r="C44">
        <v>1.9</v>
      </c>
      <c r="D44">
        <v>0.4</v>
      </c>
      <c r="E44" t="s">
        <v>5</v>
      </c>
      <c r="F44" s="2">
        <f t="shared" si="2"/>
        <v>0.22222222222222213</v>
      </c>
      <c r="G44" s="2">
        <f t="shared" si="3"/>
        <v>0.74999999999999978</v>
      </c>
      <c r="H44" s="2">
        <f>(C44-MIN($C$2:C$148))/(MAX($C$2:$C$148)-MIN($C$2:$C$148))</f>
        <v>0.15254237288135591</v>
      </c>
      <c r="I44" s="2">
        <f>(D44-MIN($D$2:D$148))/(MAX($D$2:$D$148)-MIN($D$2:$D$148))</f>
        <v>0.12500000000000003</v>
      </c>
    </row>
    <row r="45" spans="1:9" x14ac:dyDescent="0.25">
      <c r="A45">
        <v>4.8</v>
      </c>
      <c r="B45">
        <v>3</v>
      </c>
      <c r="C45">
        <v>1.4</v>
      </c>
      <c r="D45">
        <v>0.3</v>
      </c>
      <c r="E45" t="s">
        <v>5</v>
      </c>
      <c r="F45" s="2">
        <f t="shared" si="2"/>
        <v>0.13888888888888887</v>
      </c>
      <c r="G45" s="2">
        <f t="shared" si="3"/>
        <v>0.41666666666666663</v>
      </c>
      <c r="H45" s="2">
        <f>(C45-MIN($C$2:C$148))/(MAX($C$2:$C$148)-MIN($C$2:$C$148))</f>
        <v>6.7796610169491511E-2</v>
      </c>
      <c r="I45" s="2">
        <f>(D45-MIN($D$2:D$148))/(MAX($D$2:$D$148)-MIN($D$2:$D$148))</f>
        <v>8.3333333333333329E-2</v>
      </c>
    </row>
    <row r="46" spans="1:9" x14ac:dyDescent="0.25">
      <c r="A46">
        <v>5.0999999999999996</v>
      </c>
      <c r="B46">
        <v>3.8</v>
      </c>
      <c r="C46">
        <v>1.6</v>
      </c>
      <c r="D46">
        <v>0.2</v>
      </c>
      <c r="E46" t="s">
        <v>5</v>
      </c>
      <c r="F46" s="2">
        <f t="shared" si="2"/>
        <v>0.22222222222222213</v>
      </c>
      <c r="G46" s="2">
        <f t="shared" si="3"/>
        <v>0.74999999999999978</v>
      </c>
      <c r="H46" s="2">
        <f>(C46-MIN($C$2:C$148))/(MAX($C$2:$C$148)-MIN($C$2:$C$148))</f>
        <v>0.10169491525423729</v>
      </c>
      <c r="I46" s="2">
        <f>(D46-MIN($D$2:D$148))/(MAX($D$2:$D$148)-MIN($D$2:$D$148))</f>
        <v>4.1666666666666671E-2</v>
      </c>
    </row>
    <row r="47" spans="1:9" x14ac:dyDescent="0.25">
      <c r="A47">
        <v>4.5999999999999996</v>
      </c>
      <c r="B47">
        <v>3.2</v>
      </c>
      <c r="C47">
        <v>1.4</v>
      </c>
      <c r="D47">
        <v>0.2</v>
      </c>
      <c r="E47" t="s">
        <v>5</v>
      </c>
      <c r="F47" s="2">
        <f t="shared" si="2"/>
        <v>8.3333333333333273E-2</v>
      </c>
      <c r="G47" s="2">
        <f t="shared" si="3"/>
        <v>0.5</v>
      </c>
      <c r="H47" s="2">
        <f>(C47-MIN($C$2:C$148))/(MAX($C$2:$C$148)-MIN($C$2:$C$148))</f>
        <v>6.7796610169491511E-2</v>
      </c>
      <c r="I47" s="2">
        <f>(D47-MIN($D$2:D$148))/(MAX($D$2:$D$148)-MIN($D$2:$D$148))</f>
        <v>4.1666666666666671E-2</v>
      </c>
    </row>
    <row r="48" spans="1:9" x14ac:dyDescent="0.25">
      <c r="A48">
        <v>5.3</v>
      </c>
      <c r="B48">
        <v>3.7</v>
      </c>
      <c r="C48">
        <v>1.5</v>
      </c>
      <c r="D48">
        <v>0.2</v>
      </c>
      <c r="E48" t="s">
        <v>5</v>
      </c>
      <c r="F48" s="2">
        <f t="shared" si="2"/>
        <v>0.27777777777777773</v>
      </c>
      <c r="G48" s="2">
        <f t="shared" si="3"/>
        <v>0.70833333333333326</v>
      </c>
      <c r="H48" s="2">
        <f>(C48-MIN($C$2:C$148))/(MAX($C$2:$C$148)-MIN($C$2:$C$148))</f>
        <v>8.4745762711864403E-2</v>
      </c>
      <c r="I48" s="2">
        <f>(D48-MIN($D$2:D$148))/(MAX($D$2:$D$148)-MIN($D$2:$D$148))</f>
        <v>4.1666666666666671E-2</v>
      </c>
    </row>
    <row r="49" spans="1:9" x14ac:dyDescent="0.25">
      <c r="A49">
        <v>5</v>
      </c>
      <c r="B49">
        <v>3.3</v>
      </c>
      <c r="C49">
        <v>1.4</v>
      </c>
      <c r="D49">
        <v>0.2</v>
      </c>
      <c r="E49" t="s">
        <v>5</v>
      </c>
      <c r="F49" s="2">
        <f t="shared" si="2"/>
        <v>0.19444444444444448</v>
      </c>
      <c r="G49" s="2">
        <f t="shared" si="3"/>
        <v>0.54166666666666652</v>
      </c>
      <c r="H49" s="2">
        <f>(C49-MIN($C$2:C$148))/(MAX($C$2:$C$148)-MIN($C$2:$C$148))</f>
        <v>6.7796610169491511E-2</v>
      </c>
      <c r="I49" s="2">
        <f>(D49-MIN($D$2:D$148))/(MAX($D$2:$D$148)-MIN($D$2:$D$148))</f>
        <v>4.1666666666666671E-2</v>
      </c>
    </row>
    <row r="50" spans="1:9" x14ac:dyDescent="0.25">
      <c r="A50">
        <v>7</v>
      </c>
      <c r="B50">
        <v>3.2</v>
      </c>
      <c r="C50">
        <v>4.7</v>
      </c>
      <c r="D50">
        <v>1.4</v>
      </c>
      <c r="E50" t="s">
        <v>6</v>
      </c>
      <c r="F50" s="2">
        <f t="shared" si="2"/>
        <v>0.74999999999999989</v>
      </c>
      <c r="G50" s="2">
        <f t="shared" si="3"/>
        <v>0.5</v>
      </c>
      <c r="H50" s="2">
        <f>(C50-MIN($C$2:C$148))/(MAX($C$2:$C$148)-MIN($C$2:$C$148))</f>
        <v>0.6271186440677966</v>
      </c>
      <c r="I50" s="2">
        <f>(D50-MIN($D$2:D$148))/(MAX($D$2:$D$148)-MIN($D$2:$D$148))</f>
        <v>0.54166666666666663</v>
      </c>
    </row>
    <row r="51" spans="1:9" x14ac:dyDescent="0.25">
      <c r="A51">
        <v>6.4</v>
      </c>
      <c r="B51">
        <v>3.2</v>
      </c>
      <c r="C51">
        <v>4.5</v>
      </c>
      <c r="D51">
        <v>1.5</v>
      </c>
      <c r="E51" t="s">
        <v>6</v>
      </c>
      <c r="F51" s="2">
        <f t="shared" si="2"/>
        <v>0.58333333333333337</v>
      </c>
      <c r="G51" s="2">
        <f t="shared" si="3"/>
        <v>0.5</v>
      </c>
      <c r="H51" s="2">
        <f>(C51-MIN($C$2:C$148))/(MAX($C$2:$C$148)-MIN($C$2:$C$148))</f>
        <v>0.59322033898305082</v>
      </c>
      <c r="I51" s="2">
        <f>(D51-MIN($D$2:D$148))/(MAX($D$2:$D$148)-MIN($D$2:$D$148))</f>
        <v>0.58333333333333337</v>
      </c>
    </row>
    <row r="52" spans="1:9" x14ac:dyDescent="0.25">
      <c r="A52">
        <v>6.9</v>
      </c>
      <c r="B52">
        <v>3.1</v>
      </c>
      <c r="C52">
        <v>4.9000000000000004</v>
      </c>
      <c r="D52">
        <v>1.5</v>
      </c>
      <c r="E52" t="s">
        <v>6</v>
      </c>
      <c r="F52" s="2">
        <f t="shared" si="2"/>
        <v>0.72222222222222221</v>
      </c>
      <c r="G52" s="2">
        <f t="shared" si="3"/>
        <v>0.45833333333333331</v>
      </c>
      <c r="H52" s="2">
        <f>(C52-MIN($C$2:C$148))/(MAX($C$2:$C$148)-MIN($C$2:$C$148))</f>
        <v>0.66101694915254239</v>
      </c>
      <c r="I52" s="2">
        <f>(D52-MIN($D$2:D$148))/(MAX($D$2:$D$148)-MIN($D$2:$D$148))</f>
        <v>0.58333333333333337</v>
      </c>
    </row>
    <row r="53" spans="1:9" x14ac:dyDescent="0.25">
      <c r="A53">
        <v>5.5</v>
      </c>
      <c r="B53">
        <v>2.2999999999999998</v>
      </c>
      <c r="C53">
        <v>4</v>
      </c>
      <c r="D53">
        <v>1.3</v>
      </c>
      <c r="E53" t="s">
        <v>6</v>
      </c>
      <c r="F53" s="2">
        <f t="shared" si="2"/>
        <v>0.33333333333333331</v>
      </c>
      <c r="G53" s="2">
        <f t="shared" si="3"/>
        <v>0.1249999999999999</v>
      </c>
      <c r="H53" s="2">
        <f>(C53-MIN($C$2:C$148))/(MAX($C$2:$C$148)-MIN($C$2:$C$148))</f>
        <v>0.50847457627118642</v>
      </c>
      <c r="I53" s="2">
        <f>(D53-MIN($D$2:D$148))/(MAX($D$2:$D$148)-MIN($D$2:$D$148))</f>
        <v>0.5</v>
      </c>
    </row>
    <row r="54" spans="1:9" x14ac:dyDescent="0.25">
      <c r="A54">
        <v>6.5</v>
      </c>
      <c r="B54">
        <v>2.8</v>
      </c>
      <c r="C54">
        <v>4.5999999999999996</v>
      </c>
      <c r="D54">
        <v>1.5</v>
      </c>
      <c r="E54" t="s">
        <v>6</v>
      </c>
      <c r="F54" s="2">
        <f t="shared" si="2"/>
        <v>0.61111111111111105</v>
      </c>
      <c r="G54" s="2">
        <f t="shared" si="3"/>
        <v>0.3333333333333332</v>
      </c>
      <c r="H54" s="2">
        <f>(C54-MIN($C$2:C$148))/(MAX($C$2:$C$148)-MIN($C$2:$C$148))</f>
        <v>0.61016949152542366</v>
      </c>
      <c r="I54" s="2">
        <f>(D54-MIN($D$2:D$148))/(MAX($D$2:$D$148)-MIN($D$2:$D$148))</f>
        <v>0.58333333333333337</v>
      </c>
    </row>
    <row r="55" spans="1:9" x14ac:dyDescent="0.25">
      <c r="A55">
        <v>5.7</v>
      </c>
      <c r="B55">
        <v>2.8</v>
      </c>
      <c r="C55">
        <v>4.5</v>
      </c>
      <c r="D55">
        <v>1.3</v>
      </c>
      <c r="E55" t="s">
        <v>6</v>
      </c>
      <c r="F55" s="2">
        <f t="shared" si="2"/>
        <v>0.38888888888888895</v>
      </c>
      <c r="G55" s="2">
        <f t="shared" si="3"/>
        <v>0.3333333333333332</v>
      </c>
      <c r="H55" s="2">
        <f>(C55-MIN($C$2:C$148))/(MAX($C$2:$C$148)-MIN($C$2:$C$148))</f>
        <v>0.59322033898305082</v>
      </c>
      <c r="I55" s="2">
        <f>(D55-MIN($D$2:D$148))/(MAX($D$2:$D$148)-MIN($D$2:$D$148))</f>
        <v>0.5</v>
      </c>
    </row>
    <row r="56" spans="1:9" x14ac:dyDescent="0.25">
      <c r="A56">
        <v>6.3</v>
      </c>
      <c r="B56">
        <v>3.3</v>
      </c>
      <c r="C56">
        <v>4.7</v>
      </c>
      <c r="D56">
        <v>1.6</v>
      </c>
      <c r="E56" t="s">
        <v>6</v>
      </c>
      <c r="F56" s="2">
        <f t="shared" si="2"/>
        <v>0.55555555555555547</v>
      </c>
      <c r="G56" s="2">
        <f t="shared" si="3"/>
        <v>0.54166666666666652</v>
      </c>
      <c r="H56" s="2">
        <f>(C56-MIN($C$2:C$148))/(MAX($C$2:$C$148)-MIN($C$2:$C$148))</f>
        <v>0.6271186440677966</v>
      </c>
      <c r="I56" s="2">
        <f>(D56-MIN($D$2:D$148))/(MAX($D$2:$D$148)-MIN($D$2:$D$148))</f>
        <v>0.625</v>
      </c>
    </row>
    <row r="57" spans="1:9" x14ac:dyDescent="0.25">
      <c r="A57">
        <v>4.9000000000000004</v>
      </c>
      <c r="B57">
        <v>2.4</v>
      </c>
      <c r="C57">
        <v>3.3</v>
      </c>
      <c r="D57">
        <v>1</v>
      </c>
      <c r="E57" t="s">
        <v>6</v>
      </c>
      <c r="F57" s="2">
        <f t="shared" si="2"/>
        <v>0.1666666666666668</v>
      </c>
      <c r="G57" s="2">
        <f t="shared" si="3"/>
        <v>0.1666666666666666</v>
      </c>
      <c r="H57" s="2">
        <f>(C57-MIN($C$2:C$148))/(MAX($C$2:$C$148)-MIN($C$2:$C$148))</f>
        <v>0.38983050847457623</v>
      </c>
      <c r="I57" s="2">
        <f>(D57-MIN($D$2:D$148))/(MAX($D$2:$D$148)-MIN($D$2:$D$148))</f>
        <v>0.375</v>
      </c>
    </row>
    <row r="58" spans="1:9" x14ac:dyDescent="0.25">
      <c r="A58">
        <v>6.6</v>
      </c>
      <c r="B58">
        <v>2.9</v>
      </c>
      <c r="C58">
        <v>4.5999999999999996</v>
      </c>
      <c r="D58">
        <v>1.3</v>
      </c>
      <c r="E58" t="s">
        <v>6</v>
      </c>
      <c r="F58" s="2">
        <f t="shared" si="2"/>
        <v>0.63888888888888873</v>
      </c>
      <c r="G58" s="2">
        <f t="shared" si="3"/>
        <v>0.37499999999999989</v>
      </c>
      <c r="H58" s="2">
        <f>(C58-MIN($C$2:C$148))/(MAX($C$2:$C$148)-MIN($C$2:$C$148))</f>
        <v>0.61016949152542366</v>
      </c>
      <c r="I58" s="2">
        <f>(D58-MIN($D$2:D$148))/(MAX($D$2:$D$148)-MIN($D$2:$D$148))</f>
        <v>0.5</v>
      </c>
    </row>
    <row r="59" spans="1:9" x14ac:dyDescent="0.25">
      <c r="A59">
        <v>5.2</v>
      </c>
      <c r="B59">
        <v>2.7</v>
      </c>
      <c r="C59">
        <v>3.9</v>
      </c>
      <c r="D59">
        <v>1.4</v>
      </c>
      <c r="E59" t="s">
        <v>6</v>
      </c>
      <c r="F59" s="2">
        <f t="shared" si="2"/>
        <v>0.25000000000000006</v>
      </c>
      <c r="G59" s="2">
        <f t="shared" si="3"/>
        <v>0.29166666666666669</v>
      </c>
      <c r="H59" s="2">
        <f>(C59-MIN($C$2:C$148))/(MAX($C$2:$C$148)-MIN($C$2:$C$148))</f>
        <v>0.49152542372881353</v>
      </c>
      <c r="I59" s="2">
        <f>(D59-MIN($D$2:D$148))/(MAX($D$2:$D$148)-MIN($D$2:$D$148))</f>
        <v>0.54166666666666663</v>
      </c>
    </row>
    <row r="60" spans="1:9" x14ac:dyDescent="0.25">
      <c r="A60">
        <v>5</v>
      </c>
      <c r="B60">
        <v>2</v>
      </c>
      <c r="C60">
        <v>3.5</v>
      </c>
      <c r="D60">
        <v>1</v>
      </c>
      <c r="E60" t="s">
        <v>6</v>
      </c>
      <c r="F60" s="2">
        <f t="shared" si="2"/>
        <v>0.19444444444444448</v>
      </c>
      <c r="G60" s="2">
        <f t="shared" si="3"/>
        <v>0</v>
      </c>
      <c r="H60" s="2">
        <f>(C60-MIN($C$2:C$148))/(MAX($C$2:$C$148)-MIN($C$2:$C$148))</f>
        <v>0.42372881355932202</v>
      </c>
      <c r="I60" s="2">
        <f>(D60-MIN($D$2:D$148))/(MAX($D$2:$D$148)-MIN($D$2:$D$148))</f>
        <v>0.375</v>
      </c>
    </row>
    <row r="61" spans="1:9" x14ac:dyDescent="0.25">
      <c r="A61">
        <v>5.9</v>
      </c>
      <c r="B61">
        <v>3</v>
      </c>
      <c r="C61">
        <v>4.2</v>
      </c>
      <c r="D61">
        <v>1.5</v>
      </c>
      <c r="E61" t="s">
        <v>6</v>
      </c>
      <c r="F61" s="2">
        <f t="shared" si="2"/>
        <v>0.44444444444444453</v>
      </c>
      <c r="G61" s="2">
        <f t="shared" si="3"/>
        <v>0.41666666666666663</v>
      </c>
      <c r="H61" s="2">
        <f>(C61-MIN($C$2:C$148))/(MAX($C$2:$C$148)-MIN($C$2:$C$148))</f>
        <v>0.5423728813559322</v>
      </c>
      <c r="I61" s="2">
        <f>(D61-MIN($D$2:D$148))/(MAX($D$2:$D$148)-MIN($D$2:$D$148))</f>
        <v>0.58333333333333337</v>
      </c>
    </row>
    <row r="62" spans="1:9" x14ac:dyDescent="0.25">
      <c r="A62">
        <v>6</v>
      </c>
      <c r="B62">
        <v>2.2000000000000002</v>
      </c>
      <c r="C62">
        <v>4</v>
      </c>
      <c r="D62">
        <v>1</v>
      </c>
      <c r="E62" t="s">
        <v>6</v>
      </c>
      <c r="F62" s="2">
        <f t="shared" si="2"/>
        <v>0.47222222222222221</v>
      </c>
      <c r="G62" s="2">
        <f t="shared" si="3"/>
        <v>8.3333333333333398E-2</v>
      </c>
      <c r="H62" s="2">
        <f>(C62-MIN($C$2:C$148))/(MAX($C$2:$C$148)-MIN($C$2:$C$148))</f>
        <v>0.50847457627118642</v>
      </c>
      <c r="I62" s="2">
        <f>(D62-MIN($D$2:D$148))/(MAX($D$2:$D$148)-MIN($D$2:$D$148))</f>
        <v>0.375</v>
      </c>
    </row>
    <row r="63" spans="1:9" x14ac:dyDescent="0.25">
      <c r="A63">
        <v>6.1</v>
      </c>
      <c r="B63">
        <v>2.9</v>
      </c>
      <c r="C63">
        <v>4.7</v>
      </c>
      <c r="D63">
        <v>1.4</v>
      </c>
      <c r="E63" t="s">
        <v>6</v>
      </c>
      <c r="F63" s="2">
        <f t="shared" si="2"/>
        <v>0.49999999999999989</v>
      </c>
      <c r="G63" s="2">
        <f t="shared" si="3"/>
        <v>0.37499999999999989</v>
      </c>
      <c r="H63" s="2">
        <f>(C63-MIN($C$2:C$148))/(MAX($C$2:$C$148)-MIN($C$2:$C$148))</f>
        <v>0.6271186440677966</v>
      </c>
      <c r="I63" s="2">
        <f>(D63-MIN($D$2:D$148))/(MAX($D$2:$D$148)-MIN($D$2:$D$148))</f>
        <v>0.54166666666666663</v>
      </c>
    </row>
    <row r="64" spans="1:9" x14ac:dyDescent="0.25">
      <c r="A64">
        <v>5.6</v>
      </c>
      <c r="B64">
        <v>2.9</v>
      </c>
      <c r="C64">
        <v>3.6</v>
      </c>
      <c r="D64">
        <v>1.3</v>
      </c>
      <c r="E64" t="s">
        <v>6</v>
      </c>
      <c r="F64" s="2">
        <f t="shared" si="2"/>
        <v>0.36111111111111099</v>
      </c>
      <c r="G64" s="2">
        <f t="shared" si="3"/>
        <v>0.37499999999999989</v>
      </c>
      <c r="H64" s="2">
        <f>(C64-MIN($C$2:C$148))/(MAX($C$2:$C$148)-MIN($C$2:$C$148))</f>
        <v>0.44067796610169491</v>
      </c>
      <c r="I64" s="2">
        <f>(D64-MIN($D$2:D$148))/(MAX($D$2:$D$148)-MIN($D$2:$D$148))</f>
        <v>0.5</v>
      </c>
    </row>
    <row r="65" spans="1:9" x14ac:dyDescent="0.25">
      <c r="A65">
        <v>6.7</v>
      </c>
      <c r="B65">
        <v>3.1</v>
      </c>
      <c r="C65">
        <v>4.4000000000000004</v>
      </c>
      <c r="D65">
        <v>1.4</v>
      </c>
      <c r="E65" t="s">
        <v>6</v>
      </c>
      <c r="F65" s="2">
        <f t="shared" si="2"/>
        <v>0.66666666666666663</v>
      </c>
      <c r="G65" s="2">
        <f t="shared" si="3"/>
        <v>0.45833333333333331</v>
      </c>
      <c r="H65" s="2">
        <f>(C65-MIN($C$2:C$148))/(MAX($C$2:$C$148)-MIN($C$2:$C$148))</f>
        <v>0.57627118644067798</v>
      </c>
      <c r="I65" s="2">
        <f>(D65-MIN($D$2:D$148))/(MAX($D$2:$D$148)-MIN($D$2:$D$148))</f>
        <v>0.54166666666666663</v>
      </c>
    </row>
    <row r="66" spans="1:9" x14ac:dyDescent="0.25">
      <c r="A66">
        <v>5.6</v>
      </c>
      <c r="B66">
        <v>3</v>
      </c>
      <c r="C66">
        <v>4.5</v>
      </c>
      <c r="D66">
        <v>1.5</v>
      </c>
      <c r="E66" t="s">
        <v>6</v>
      </c>
      <c r="F66" s="2">
        <f t="shared" ref="F66:F97" si="4">(A66-MIN($A$2:$A$148))/(MAX($A$2:$A$148)-MIN($A$2:$A$148))</f>
        <v>0.36111111111111099</v>
      </c>
      <c r="G66" s="2">
        <f t="shared" ref="G66:G97" si="5">(B66-MIN($B$2:$B$148))/(MAX($B$2:$B$148)-MIN($B$2:$B$148))</f>
        <v>0.41666666666666663</v>
      </c>
      <c r="H66" s="2">
        <f>(C66-MIN($C$2:C$148))/(MAX($C$2:$C$148)-MIN($C$2:$C$148))</f>
        <v>0.59322033898305082</v>
      </c>
      <c r="I66" s="2">
        <f>(D66-MIN($D$2:D$148))/(MAX($D$2:$D$148)-MIN($D$2:$D$148))</f>
        <v>0.58333333333333337</v>
      </c>
    </row>
    <row r="67" spans="1:9" x14ac:dyDescent="0.25">
      <c r="A67">
        <v>5.8</v>
      </c>
      <c r="B67">
        <v>2.7</v>
      </c>
      <c r="C67">
        <v>4.0999999999999996</v>
      </c>
      <c r="D67">
        <v>1</v>
      </c>
      <c r="E67" t="s">
        <v>6</v>
      </c>
      <c r="F67" s="2">
        <f t="shared" si="4"/>
        <v>0.41666666666666663</v>
      </c>
      <c r="G67" s="2">
        <f t="shared" si="5"/>
        <v>0.29166666666666669</v>
      </c>
      <c r="H67" s="2">
        <f>(C67-MIN($C$2:C$148))/(MAX($C$2:$C$148)-MIN($C$2:$C$148))</f>
        <v>0.52542372881355925</v>
      </c>
      <c r="I67" s="2">
        <f>(D67-MIN($D$2:D$148))/(MAX($D$2:$D$148)-MIN($D$2:$D$148))</f>
        <v>0.375</v>
      </c>
    </row>
    <row r="68" spans="1:9" x14ac:dyDescent="0.25">
      <c r="A68">
        <v>6.2</v>
      </c>
      <c r="B68">
        <v>2.2000000000000002</v>
      </c>
      <c r="C68">
        <v>4.5</v>
      </c>
      <c r="D68">
        <v>1.5</v>
      </c>
      <c r="E68" t="s">
        <v>6</v>
      </c>
      <c r="F68" s="2">
        <f t="shared" si="4"/>
        <v>0.52777777777777779</v>
      </c>
      <c r="G68" s="2">
        <f t="shared" si="5"/>
        <v>8.3333333333333398E-2</v>
      </c>
      <c r="H68" s="2">
        <f>(C68-MIN($C$2:C$148))/(MAX($C$2:$C$148)-MIN($C$2:$C$148))</f>
        <v>0.59322033898305082</v>
      </c>
      <c r="I68" s="2">
        <f>(D68-MIN($D$2:D$148))/(MAX($D$2:$D$148)-MIN($D$2:$D$148))</f>
        <v>0.58333333333333337</v>
      </c>
    </row>
    <row r="69" spans="1:9" x14ac:dyDescent="0.25">
      <c r="A69">
        <v>5.6</v>
      </c>
      <c r="B69">
        <v>2.5</v>
      </c>
      <c r="C69">
        <v>3.9</v>
      </c>
      <c r="D69">
        <v>1.1000000000000001</v>
      </c>
      <c r="E69" t="s">
        <v>6</v>
      </c>
      <c r="F69" s="2">
        <f t="shared" si="4"/>
        <v>0.36111111111111099</v>
      </c>
      <c r="G69" s="2">
        <f t="shared" si="5"/>
        <v>0.20833333333333331</v>
      </c>
      <c r="H69" s="2">
        <f>(C69-MIN($C$2:C$148))/(MAX($C$2:$C$148)-MIN($C$2:$C$148))</f>
        <v>0.49152542372881353</v>
      </c>
      <c r="I69" s="2">
        <f>(D69-MIN($D$2:D$148))/(MAX($D$2:$D$148)-MIN($D$2:$D$148))</f>
        <v>0.41666666666666669</v>
      </c>
    </row>
    <row r="70" spans="1:9" x14ac:dyDescent="0.25">
      <c r="A70">
        <v>5.9</v>
      </c>
      <c r="B70">
        <v>3.2</v>
      </c>
      <c r="C70">
        <v>4.8</v>
      </c>
      <c r="D70">
        <v>1.8</v>
      </c>
      <c r="E70" t="s">
        <v>6</v>
      </c>
      <c r="F70" s="2">
        <f t="shared" si="4"/>
        <v>0.44444444444444453</v>
      </c>
      <c r="G70" s="2">
        <f t="shared" si="5"/>
        <v>0.5</v>
      </c>
      <c r="H70" s="2">
        <f>(C70-MIN($C$2:C$148))/(MAX($C$2:$C$148)-MIN($C$2:$C$148))</f>
        <v>0.64406779661016944</v>
      </c>
      <c r="I70" s="2">
        <f>(D70-MIN($D$2:D$148))/(MAX($D$2:$D$148)-MIN($D$2:$D$148))</f>
        <v>0.70833333333333337</v>
      </c>
    </row>
    <row r="71" spans="1:9" x14ac:dyDescent="0.25">
      <c r="A71">
        <v>6.1</v>
      </c>
      <c r="B71">
        <v>2.8</v>
      </c>
      <c r="C71">
        <v>4</v>
      </c>
      <c r="D71">
        <v>1.3</v>
      </c>
      <c r="E71" t="s">
        <v>6</v>
      </c>
      <c r="F71" s="2">
        <f t="shared" si="4"/>
        <v>0.49999999999999989</v>
      </c>
      <c r="G71" s="2">
        <f t="shared" si="5"/>
        <v>0.3333333333333332</v>
      </c>
      <c r="H71" s="2">
        <f>(C71-MIN($C$2:C$148))/(MAX($C$2:$C$148)-MIN($C$2:$C$148))</f>
        <v>0.50847457627118642</v>
      </c>
      <c r="I71" s="2">
        <f>(D71-MIN($D$2:D$148))/(MAX($D$2:$D$148)-MIN($D$2:$D$148))</f>
        <v>0.5</v>
      </c>
    </row>
    <row r="72" spans="1:9" x14ac:dyDescent="0.25">
      <c r="A72">
        <v>6.3</v>
      </c>
      <c r="B72">
        <v>2.5</v>
      </c>
      <c r="C72">
        <v>4.9000000000000004</v>
      </c>
      <c r="D72">
        <v>1.5</v>
      </c>
      <c r="E72" t="s">
        <v>6</v>
      </c>
      <c r="F72" s="2">
        <f t="shared" si="4"/>
        <v>0.55555555555555547</v>
      </c>
      <c r="G72" s="2">
        <f t="shared" si="5"/>
        <v>0.20833333333333331</v>
      </c>
      <c r="H72" s="2">
        <f>(C72-MIN($C$2:C$148))/(MAX($C$2:$C$148)-MIN($C$2:$C$148))</f>
        <v>0.66101694915254239</v>
      </c>
      <c r="I72" s="2">
        <f>(D72-MIN($D$2:D$148))/(MAX($D$2:$D$148)-MIN($D$2:$D$148))</f>
        <v>0.58333333333333337</v>
      </c>
    </row>
    <row r="73" spans="1:9" x14ac:dyDescent="0.25">
      <c r="A73">
        <v>6.1</v>
      </c>
      <c r="B73">
        <v>2.8</v>
      </c>
      <c r="C73">
        <v>4.7</v>
      </c>
      <c r="D73">
        <v>1.2</v>
      </c>
      <c r="E73" t="s">
        <v>6</v>
      </c>
      <c r="F73" s="2">
        <f t="shared" si="4"/>
        <v>0.49999999999999989</v>
      </c>
      <c r="G73" s="2">
        <f t="shared" si="5"/>
        <v>0.3333333333333332</v>
      </c>
      <c r="H73" s="2">
        <f>(C73-MIN($C$2:C$148))/(MAX($C$2:$C$148)-MIN($C$2:$C$148))</f>
        <v>0.6271186440677966</v>
      </c>
      <c r="I73" s="2">
        <f>(D73-MIN($D$2:D$148))/(MAX($D$2:$D$148)-MIN($D$2:$D$148))</f>
        <v>0.45833333333333331</v>
      </c>
    </row>
    <row r="74" spans="1:9" x14ac:dyDescent="0.25">
      <c r="A74">
        <v>6.4</v>
      </c>
      <c r="B74">
        <v>2.9</v>
      </c>
      <c r="C74">
        <v>4.3</v>
      </c>
      <c r="D74">
        <v>1.3</v>
      </c>
      <c r="E74" t="s">
        <v>6</v>
      </c>
      <c r="F74" s="2">
        <f t="shared" si="4"/>
        <v>0.58333333333333337</v>
      </c>
      <c r="G74" s="2">
        <f t="shared" si="5"/>
        <v>0.37499999999999989</v>
      </c>
      <c r="H74" s="2">
        <f>(C74-MIN($C$2:C$148))/(MAX($C$2:$C$148)-MIN($C$2:$C$148))</f>
        <v>0.55932203389830504</v>
      </c>
      <c r="I74" s="2">
        <f>(D74-MIN($D$2:D$148))/(MAX($D$2:$D$148)-MIN($D$2:$D$148))</f>
        <v>0.5</v>
      </c>
    </row>
    <row r="75" spans="1:9" x14ac:dyDescent="0.25">
      <c r="A75">
        <v>6.6</v>
      </c>
      <c r="B75">
        <v>3</v>
      </c>
      <c r="C75">
        <v>4.4000000000000004</v>
      </c>
      <c r="D75">
        <v>1.4</v>
      </c>
      <c r="E75" t="s">
        <v>6</v>
      </c>
      <c r="F75" s="2">
        <f t="shared" si="4"/>
        <v>0.63888888888888873</v>
      </c>
      <c r="G75" s="2">
        <f t="shared" si="5"/>
        <v>0.41666666666666663</v>
      </c>
      <c r="H75" s="2">
        <f>(C75-MIN($C$2:C$148))/(MAX($C$2:$C$148)-MIN($C$2:$C$148))</f>
        <v>0.57627118644067798</v>
      </c>
      <c r="I75" s="2">
        <f>(D75-MIN($D$2:D$148))/(MAX($D$2:$D$148)-MIN($D$2:$D$148))</f>
        <v>0.54166666666666663</v>
      </c>
    </row>
    <row r="76" spans="1:9" x14ac:dyDescent="0.25">
      <c r="A76">
        <v>6.8</v>
      </c>
      <c r="B76">
        <v>2.8</v>
      </c>
      <c r="C76">
        <v>4.8</v>
      </c>
      <c r="D76">
        <v>1.4</v>
      </c>
      <c r="E76" t="s">
        <v>6</v>
      </c>
      <c r="F76" s="2">
        <f t="shared" si="4"/>
        <v>0.69444444444444431</v>
      </c>
      <c r="G76" s="2">
        <f t="shared" si="5"/>
        <v>0.3333333333333332</v>
      </c>
      <c r="H76" s="2">
        <f>(C76-MIN($C$2:C$148))/(MAX($C$2:$C$148)-MIN($C$2:$C$148))</f>
        <v>0.64406779661016944</v>
      </c>
      <c r="I76" s="2">
        <f>(D76-MIN($D$2:D$148))/(MAX($D$2:$D$148)-MIN($D$2:$D$148))</f>
        <v>0.54166666666666663</v>
      </c>
    </row>
    <row r="77" spans="1:9" x14ac:dyDescent="0.25">
      <c r="A77">
        <v>6.7</v>
      </c>
      <c r="B77">
        <v>3</v>
      </c>
      <c r="C77">
        <v>5</v>
      </c>
      <c r="D77">
        <v>1.7</v>
      </c>
      <c r="E77" t="s">
        <v>6</v>
      </c>
      <c r="F77" s="2">
        <f t="shared" si="4"/>
        <v>0.66666666666666663</v>
      </c>
      <c r="G77" s="2">
        <f t="shared" si="5"/>
        <v>0.41666666666666663</v>
      </c>
      <c r="H77" s="2">
        <f>(C77-MIN($C$2:C$148))/(MAX($C$2:$C$148)-MIN($C$2:$C$148))</f>
        <v>0.67796610169491522</v>
      </c>
      <c r="I77" s="2">
        <f>(D77-MIN($D$2:D$148))/(MAX($D$2:$D$148)-MIN($D$2:$D$148))</f>
        <v>0.66666666666666663</v>
      </c>
    </row>
    <row r="78" spans="1:9" x14ac:dyDescent="0.25">
      <c r="A78">
        <v>6</v>
      </c>
      <c r="B78">
        <v>2.9</v>
      </c>
      <c r="C78">
        <v>4.5</v>
      </c>
      <c r="D78">
        <v>1.5</v>
      </c>
      <c r="E78" t="s">
        <v>6</v>
      </c>
      <c r="F78" s="2">
        <f t="shared" si="4"/>
        <v>0.47222222222222221</v>
      </c>
      <c r="G78" s="2">
        <f t="shared" si="5"/>
        <v>0.37499999999999989</v>
      </c>
      <c r="H78" s="2">
        <f>(C78-MIN($C$2:C$148))/(MAX($C$2:$C$148)-MIN($C$2:$C$148))</f>
        <v>0.59322033898305082</v>
      </c>
      <c r="I78" s="2">
        <f>(D78-MIN($D$2:D$148))/(MAX($D$2:$D$148)-MIN($D$2:$D$148))</f>
        <v>0.58333333333333337</v>
      </c>
    </row>
    <row r="79" spans="1:9" x14ac:dyDescent="0.25">
      <c r="A79">
        <v>5.7</v>
      </c>
      <c r="B79">
        <v>2.6</v>
      </c>
      <c r="C79">
        <v>3.5</v>
      </c>
      <c r="D79">
        <v>1</v>
      </c>
      <c r="E79" t="s">
        <v>6</v>
      </c>
      <c r="F79" s="2">
        <f t="shared" si="4"/>
        <v>0.38888888888888895</v>
      </c>
      <c r="G79" s="2">
        <f t="shared" si="5"/>
        <v>0.25</v>
      </c>
      <c r="H79" s="2">
        <f>(C79-MIN($C$2:C$148))/(MAX($C$2:$C$148)-MIN($C$2:$C$148))</f>
        <v>0.42372881355932202</v>
      </c>
      <c r="I79" s="2">
        <f>(D79-MIN($D$2:D$148))/(MAX($D$2:$D$148)-MIN($D$2:$D$148))</f>
        <v>0.375</v>
      </c>
    </row>
    <row r="80" spans="1:9" x14ac:dyDescent="0.25">
      <c r="A80">
        <v>5.5</v>
      </c>
      <c r="B80">
        <v>2.4</v>
      </c>
      <c r="C80">
        <v>3.8</v>
      </c>
      <c r="D80">
        <v>1.1000000000000001</v>
      </c>
      <c r="E80" t="s">
        <v>6</v>
      </c>
      <c r="F80" s="2">
        <f t="shared" si="4"/>
        <v>0.33333333333333331</v>
      </c>
      <c r="G80" s="2">
        <f t="shared" si="5"/>
        <v>0.1666666666666666</v>
      </c>
      <c r="H80" s="2">
        <f>(C80-MIN($C$2:C$148))/(MAX($C$2:$C$148)-MIN($C$2:$C$148))</f>
        <v>0.47457627118644063</v>
      </c>
      <c r="I80" s="2">
        <f>(D80-MIN($D$2:D$148))/(MAX($D$2:$D$148)-MIN($D$2:$D$148))</f>
        <v>0.41666666666666669</v>
      </c>
    </row>
    <row r="81" spans="1:9" x14ac:dyDescent="0.25">
      <c r="A81">
        <v>5.5</v>
      </c>
      <c r="B81">
        <v>2.4</v>
      </c>
      <c r="C81">
        <v>3.7</v>
      </c>
      <c r="D81">
        <v>1</v>
      </c>
      <c r="E81" t="s">
        <v>6</v>
      </c>
      <c r="F81" s="2">
        <f t="shared" si="4"/>
        <v>0.33333333333333331</v>
      </c>
      <c r="G81" s="2">
        <f t="shared" si="5"/>
        <v>0.1666666666666666</v>
      </c>
      <c r="H81" s="2">
        <f>(C81-MIN($C$2:C$148))/(MAX($C$2:$C$148)-MIN($C$2:$C$148))</f>
        <v>0.4576271186440678</v>
      </c>
      <c r="I81" s="2">
        <f>(D81-MIN($D$2:D$148))/(MAX($D$2:$D$148)-MIN($D$2:$D$148))</f>
        <v>0.375</v>
      </c>
    </row>
    <row r="82" spans="1:9" x14ac:dyDescent="0.25">
      <c r="A82">
        <v>5.8</v>
      </c>
      <c r="B82">
        <v>2.7</v>
      </c>
      <c r="C82">
        <v>3.9</v>
      </c>
      <c r="D82">
        <v>1.2</v>
      </c>
      <c r="E82" t="s">
        <v>6</v>
      </c>
      <c r="F82" s="2">
        <f t="shared" si="4"/>
        <v>0.41666666666666663</v>
      </c>
      <c r="G82" s="2">
        <f t="shared" si="5"/>
        <v>0.29166666666666669</v>
      </c>
      <c r="H82" s="2">
        <f>(C82-MIN($C$2:C$148))/(MAX($C$2:$C$148)-MIN($C$2:$C$148))</f>
        <v>0.49152542372881353</v>
      </c>
      <c r="I82" s="2">
        <f>(D82-MIN($D$2:D$148))/(MAX($D$2:$D$148)-MIN($D$2:$D$148))</f>
        <v>0.45833333333333331</v>
      </c>
    </row>
    <row r="83" spans="1:9" x14ac:dyDescent="0.25">
      <c r="A83">
        <v>6</v>
      </c>
      <c r="B83">
        <v>2.7</v>
      </c>
      <c r="C83">
        <v>5.0999999999999996</v>
      </c>
      <c r="D83">
        <v>1.6</v>
      </c>
      <c r="E83" t="s">
        <v>6</v>
      </c>
      <c r="F83" s="2">
        <f t="shared" si="4"/>
        <v>0.47222222222222221</v>
      </c>
      <c r="G83" s="2">
        <f t="shared" si="5"/>
        <v>0.29166666666666669</v>
      </c>
      <c r="H83" s="2">
        <f>(C83-MIN($C$2:C$148))/(MAX($C$2:$C$148)-MIN($C$2:$C$148))</f>
        <v>0.69491525423728806</v>
      </c>
      <c r="I83" s="2">
        <f>(D83-MIN($D$2:D$148))/(MAX($D$2:$D$148)-MIN($D$2:$D$148))</f>
        <v>0.625</v>
      </c>
    </row>
    <row r="84" spans="1:9" x14ac:dyDescent="0.25">
      <c r="A84">
        <v>5.4</v>
      </c>
      <c r="B84">
        <v>3</v>
      </c>
      <c r="C84">
        <v>4.5</v>
      </c>
      <c r="D84">
        <v>1.5</v>
      </c>
      <c r="E84" t="s">
        <v>6</v>
      </c>
      <c r="F84" s="2">
        <f t="shared" si="4"/>
        <v>0.30555555555555564</v>
      </c>
      <c r="G84" s="2">
        <f t="shared" si="5"/>
        <v>0.41666666666666663</v>
      </c>
      <c r="H84" s="2">
        <f>(C84-MIN($C$2:C$148))/(MAX($C$2:$C$148)-MIN($C$2:$C$148))</f>
        <v>0.59322033898305082</v>
      </c>
      <c r="I84" s="2">
        <f>(D84-MIN($D$2:D$148))/(MAX($D$2:$D$148)-MIN($D$2:$D$148))</f>
        <v>0.58333333333333337</v>
      </c>
    </row>
    <row r="85" spans="1:9" x14ac:dyDescent="0.25">
      <c r="A85">
        <v>6</v>
      </c>
      <c r="B85">
        <v>3.4</v>
      </c>
      <c r="C85">
        <v>4.5</v>
      </c>
      <c r="D85">
        <v>1.6</v>
      </c>
      <c r="E85" t="s">
        <v>6</v>
      </c>
      <c r="F85" s="2">
        <f t="shared" si="4"/>
        <v>0.47222222222222221</v>
      </c>
      <c r="G85" s="2">
        <f t="shared" si="5"/>
        <v>0.58333333333333326</v>
      </c>
      <c r="H85" s="2">
        <f>(C85-MIN($C$2:C$148))/(MAX($C$2:$C$148)-MIN($C$2:$C$148))</f>
        <v>0.59322033898305082</v>
      </c>
      <c r="I85" s="2">
        <f>(D85-MIN($D$2:D$148))/(MAX($D$2:$D$148)-MIN($D$2:$D$148))</f>
        <v>0.625</v>
      </c>
    </row>
    <row r="86" spans="1:9" x14ac:dyDescent="0.25">
      <c r="A86">
        <v>6.7</v>
      </c>
      <c r="B86">
        <v>3.1</v>
      </c>
      <c r="C86">
        <v>4.7</v>
      </c>
      <c r="D86">
        <v>1.5</v>
      </c>
      <c r="E86" t="s">
        <v>6</v>
      </c>
      <c r="F86" s="2">
        <f t="shared" si="4"/>
        <v>0.66666666666666663</v>
      </c>
      <c r="G86" s="2">
        <f t="shared" si="5"/>
        <v>0.45833333333333331</v>
      </c>
      <c r="H86" s="2">
        <f>(C86-MIN($C$2:C$148))/(MAX($C$2:$C$148)-MIN($C$2:$C$148))</f>
        <v>0.6271186440677966</v>
      </c>
      <c r="I86" s="2">
        <f>(D86-MIN($D$2:D$148))/(MAX($D$2:$D$148)-MIN($D$2:$D$148))</f>
        <v>0.58333333333333337</v>
      </c>
    </row>
    <row r="87" spans="1:9" x14ac:dyDescent="0.25">
      <c r="A87">
        <v>6.3</v>
      </c>
      <c r="B87">
        <v>2.2999999999999998</v>
      </c>
      <c r="C87">
        <v>4.4000000000000004</v>
      </c>
      <c r="D87">
        <v>1.3</v>
      </c>
      <c r="E87" t="s">
        <v>6</v>
      </c>
      <c r="F87" s="2">
        <f t="shared" si="4"/>
        <v>0.55555555555555547</v>
      </c>
      <c r="G87" s="2">
        <f t="shared" si="5"/>
        <v>0.1249999999999999</v>
      </c>
      <c r="H87" s="2">
        <f>(C87-MIN($C$2:C$148))/(MAX($C$2:$C$148)-MIN($C$2:$C$148))</f>
        <v>0.57627118644067798</v>
      </c>
      <c r="I87" s="2">
        <f>(D87-MIN($D$2:D$148))/(MAX($D$2:$D$148)-MIN($D$2:$D$148))</f>
        <v>0.5</v>
      </c>
    </row>
    <row r="88" spans="1:9" x14ac:dyDescent="0.25">
      <c r="A88">
        <v>5.6</v>
      </c>
      <c r="B88">
        <v>3</v>
      </c>
      <c r="C88">
        <v>4.0999999999999996</v>
      </c>
      <c r="D88">
        <v>1.3</v>
      </c>
      <c r="E88" t="s">
        <v>6</v>
      </c>
      <c r="F88" s="2">
        <f t="shared" si="4"/>
        <v>0.36111111111111099</v>
      </c>
      <c r="G88" s="2">
        <f t="shared" si="5"/>
        <v>0.41666666666666663</v>
      </c>
      <c r="H88" s="2">
        <f>(C88-MIN($C$2:C$148))/(MAX($C$2:$C$148)-MIN($C$2:$C$148))</f>
        <v>0.52542372881355925</v>
      </c>
      <c r="I88" s="2">
        <f>(D88-MIN($D$2:D$148))/(MAX($D$2:$D$148)-MIN($D$2:$D$148))</f>
        <v>0.5</v>
      </c>
    </row>
    <row r="89" spans="1:9" x14ac:dyDescent="0.25">
      <c r="A89">
        <v>5.5</v>
      </c>
      <c r="B89">
        <v>2.5</v>
      </c>
      <c r="C89">
        <v>4</v>
      </c>
      <c r="D89">
        <v>1.3</v>
      </c>
      <c r="E89" t="s">
        <v>6</v>
      </c>
      <c r="F89" s="2">
        <f t="shared" si="4"/>
        <v>0.33333333333333331</v>
      </c>
      <c r="G89" s="2">
        <f t="shared" si="5"/>
        <v>0.20833333333333331</v>
      </c>
      <c r="H89" s="2">
        <f>(C89-MIN($C$2:C$148))/(MAX($C$2:$C$148)-MIN($C$2:$C$148))</f>
        <v>0.50847457627118642</v>
      </c>
      <c r="I89" s="2">
        <f>(D89-MIN($D$2:D$148))/(MAX($D$2:$D$148)-MIN($D$2:$D$148))</f>
        <v>0.5</v>
      </c>
    </row>
    <row r="90" spans="1:9" x14ac:dyDescent="0.25">
      <c r="A90">
        <v>5.5</v>
      </c>
      <c r="B90">
        <v>2.6</v>
      </c>
      <c r="C90">
        <v>4.4000000000000004</v>
      </c>
      <c r="D90">
        <v>1.2</v>
      </c>
      <c r="E90" t="s">
        <v>6</v>
      </c>
      <c r="F90" s="2">
        <f t="shared" si="4"/>
        <v>0.33333333333333331</v>
      </c>
      <c r="G90" s="2">
        <f t="shared" si="5"/>
        <v>0.25</v>
      </c>
      <c r="H90" s="2">
        <f>(C90-MIN($C$2:C$148))/(MAX($C$2:$C$148)-MIN($C$2:$C$148))</f>
        <v>0.57627118644067798</v>
      </c>
      <c r="I90" s="2">
        <f>(D90-MIN($D$2:D$148))/(MAX($D$2:$D$148)-MIN($D$2:$D$148))</f>
        <v>0.45833333333333331</v>
      </c>
    </row>
    <row r="91" spans="1:9" x14ac:dyDescent="0.25">
      <c r="A91">
        <v>6.1</v>
      </c>
      <c r="B91">
        <v>3</v>
      </c>
      <c r="C91">
        <v>4.5999999999999996</v>
      </c>
      <c r="D91">
        <v>1.4</v>
      </c>
      <c r="E91" t="s">
        <v>6</v>
      </c>
      <c r="F91" s="2">
        <f t="shared" si="4"/>
        <v>0.49999999999999989</v>
      </c>
      <c r="G91" s="2">
        <f t="shared" si="5"/>
        <v>0.41666666666666663</v>
      </c>
      <c r="H91" s="2">
        <f>(C91-MIN($C$2:C$148))/(MAX($C$2:$C$148)-MIN($C$2:$C$148))</f>
        <v>0.61016949152542366</v>
      </c>
      <c r="I91" s="2">
        <f>(D91-MIN($D$2:D$148))/(MAX($D$2:$D$148)-MIN($D$2:$D$148))</f>
        <v>0.54166666666666663</v>
      </c>
    </row>
    <row r="92" spans="1:9" x14ac:dyDescent="0.25">
      <c r="A92">
        <v>5.8</v>
      </c>
      <c r="B92">
        <v>2.6</v>
      </c>
      <c r="C92">
        <v>4</v>
      </c>
      <c r="D92">
        <v>1.2</v>
      </c>
      <c r="E92" t="s">
        <v>6</v>
      </c>
      <c r="F92" s="2">
        <f t="shared" si="4"/>
        <v>0.41666666666666663</v>
      </c>
      <c r="G92" s="2">
        <f t="shared" si="5"/>
        <v>0.25</v>
      </c>
      <c r="H92" s="2">
        <f>(C92-MIN($C$2:C$148))/(MAX($C$2:$C$148)-MIN($C$2:$C$148))</f>
        <v>0.50847457627118642</v>
      </c>
      <c r="I92" s="2">
        <f>(D92-MIN($D$2:D$148))/(MAX($D$2:$D$148)-MIN($D$2:$D$148))</f>
        <v>0.45833333333333331</v>
      </c>
    </row>
    <row r="93" spans="1:9" x14ac:dyDescent="0.25">
      <c r="A93">
        <v>5</v>
      </c>
      <c r="B93">
        <v>2.2999999999999998</v>
      </c>
      <c r="C93">
        <v>3.3</v>
      </c>
      <c r="D93">
        <v>1</v>
      </c>
      <c r="E93" t="s">
        <v>6</v>
      </c>
      <c r="F93" s="2">
        <f t="shared" si="4"/>
        <v>0.19444444444444448</v>
      </c>
      <c r="G93" s="2">
        <f t="shared" si="5"/>
        <v>0.1249999999999999</v>
      </c>
      <c r="H93" s="2">
        <f>(C93-MIN($C$2:C$148))/(MAX($C$2:$C$148)-MIN($C$2:$C$148))</f>
        <v>0.38983050847457623</v>
      </c>
      <c r="I93" s="2">
        <f>(D93-MIN($D$2:D$148))/(MAX($D$2:$D$148)-MIN($D$2:$D$148))</f>
        <v>0.375</v>
      </c>
    </row>
    <row r="94" spans="1:9" x14ac:dyDescent="0.25">
      <c r="A94">
        <v>5.6</v>
      </c>
      <c r="B94">
        <v>2.7</v>
      </c>
      <c r="C94">
        <v>4.2</v>
      </c>
      <c r="D94">
        <v>1.3</v>
      </c>
      <c r="E94" t="s">
        <v>6</v>
      </c>
      <c r="F94" s="2">
        <f t="shared" si="4"/>
        <v>0.36111111111111099</v>
      </c>
      <c r="G94" s="2">
        <f t="shared" si="5"/>
        <v>0.29166666666666669</v>
      </c>
      <c r="H94" s="2">
        <f>(C94-MIN($C$2:C$148))/(MAX($C$2:$C$148)-MIN($C$2:$C$148))</f>
        <v>0.5423728813559322</v>
      </c>
      <c r="I94" s="2">
        <f>(D94-MIN($D$2:D$148))/(MAX($D$2:$D$148)-MIN($D$2:$D$148))</f>
        <v>0.5</v>
      </c>
    </row>
    <row r="95" spans="1:9" x14ac:dyDescent="0.25">
      <c r="A95">
        <v>5.7</v>
      </c>
      <c r="B95">
        <v>3</v>
      </c>
      <c r="C95">
        <v>4.2</v>
      </c>
      <c r="D95">
        <v>1.2</v>
      </c>
      <c r="E95" t="s">
        <v>6</v>
      </c>
      <c r="F95" s="2">
        <f t="shared" si="4"/>
        <v>0.38888888888888895</v>
      </c>
      <c r="G95" s="2">
        <f t="shared" si="5"/>
        <v>0.41666666666666663</v>
      </c>
      <c r="H95" s="2">
        <f>(C95-MIN($C$2:C$148))/(MAX($C$2:$C$148)-MIN($C$2:$C$148))</f>
        <v>0.5423728813559322</v>
      </c>
      <c r="I95" s="2">
        <f>(D95-MIN($D$2:D$148))/(MAX($D$2:$D$148)-MIN($D$2:$D$148))</f>
        <v>0.45833333333333331</v>
      </c>
    </row>
    <row r="96" spans="1:9" x14ac:dyDescent="0.25">
      <c r="A96">
        <v>5.7</v>
      </c>
      <c r="B96">
        <v>2.9</v>
      </c>
      <c r="C96">
        <v>4.2</v>
      </c>
      <c r="D96">
        <v>1.3</v>
      </c>
      <c r="E96" t="s">
        <v>6</v>
      </c>
      <c r="F96" s="2">
        <f t="shared" si="4"/>
        <v>0.38888888888888895</v>
      </c>
      <c r="G96" s="2">
        <f t="shared" si="5"/>
        <v>0.37499999999999989</v>
      </c>
      <c r="H96" s="2">
        <f>(C96-MIN($C$2:C$148))/(MAX($C$2:$C$148)-MIN($C$2:$C$148))</f>
        <v>0.5423728813559322</v>
      </c>
      <c r="I96" s="2">
        <f>(D96-MIN($D$2:D$148))/(MAX($D$2:$D$148)-MIN($D$2:$D$148))</f>
        <v>0.5</v>
      </c>
    </row>
    <row r="97" spans="1:9" x14ac:dyDescent="0.25">
      <c r="A97">
        <v>6.2</v>
      </c>
      <c r="B97">
        <v>2.9</v>
      </c>
      <c r="C97">
        <v>4.3</v>
      </c>
      <c r="D97">
        <v>1.3</v>
      </c>
      <c r="E97" t="s">
        <v>6</v>
      </c>
      <c r="F97" s="2">
        <f t="shared" si="4"/>
        <v>0.52777777777777779</v>
      </c>
      <c r="G97" s="2">
        <f t="shared" si="5"/>
        <v>0.37499999999999989</v>
      </c>
      <c r="H97" s="2">
        <f>(C97-MIN($C$2:C$148))/(MAX($C$2:$C$148)-MIN($C$2:$C$148))</f>
        <v>0.55932203389830504</v>
      </c>
      <c r="I97" s="2">
        <f>(D97-MIN($D$2:D$148))/(MAX($D$2:$D$148)-MIN($D$2:$D$148))</f>
        <v>0.5</v>
      </c>
    </row>
    <row r="98" spans="1:9" x14ac:dyDescent="0.25">
      <c r="A98">
        <v>5.0999999999999996</v>
      </c>
      <c r="B98">
        <v>2.5</v>
      </c>
      <c r="C98">
        <v>3</v>
      </c>
      <c r="D98">
        <v>1.1000000000000001</v>
      </c>
      <c r="E98" t="s">
        <v>6</v>
      </c>
      <c r="F98" s="2">
        <f t="shared" ref="F98:F129" si="6">(A98-MIN($A$2:$A$148))/(MAX($A$2:$A$148)-MIN($A$2:$A$148))</f>
        <v>0.22222222222222213</v>
      </c>
      <c r="G98" s="2">
        <f t="shared" ref="G98:G129" si="7">(B98-MIN($B$2:$B$148))/(MAX($B$2:$B$148)-MIN($B$2:$B$148))</f>
        <v>0.20833333333333331</v>
      </c>
      <c r="H98" s="2">
        <f>(C98-MIN($C$2:C$148))/(MAX($C$2:$C$148)-MIN($C$2:$C$148))</f>
        <v>0.33898305084745761</v>
      </c>
      <c r="I98" s="2">
        <f>(D98-MIN($D$2:D$148))/(MAX($D$2:$D$148)-MIN($D$2:$D$148))</f>
        <v>0.41666666666666669</v>
      </c>
    </row>
    <row r="99" spans="1:9" x14ac:dyDescent="0.25">
      <c r="A99">
        <v>5.7</v>
      </c>
      <c r="B99">
        <v>2.8</v>
      </c>
      <c r="C99">
        <v>4.0999999999999996</v>
      </c>
      <c r="D99">
        <v>1.3</v>
      </c>
      <c r="E99" t="s">
        <v>6</v>
      </c>
      <c r="F99" s="2">
        <f t="shared" si="6"/>
        <v>0.38888888888888895</v>
      </c>
      <c r="G99" s="2">
        <f t="shared" si="7"/>
        <v>0.3333333333333332</v>
      </c>
      <c r="H99" s="2">
        <f>(C99-MIN($C$2:C$148))/(MAX($C$2:$C$148)-MIN($C$2:$C$148))</f>
        <v>0.52542372881355925</v>
      </c>
      <c r="I99" s="2">
        <f>(D99-MIN($D$2:D$148))/(MAX($D$2:$D$148)-MIN($D$2:$D$148))</f>
        <v>0.5</v>
      </c>
    </row>
    <row r="100" spans="1:9" x14ac:dyDescent="0.25">
      <c r="A100">
        <v>6.3</v>
      </c>
      <c r="B100">
        <v>3.3</v>
      </c>
      <c r="C100">
        <v>6</v>
      </c>
      <c r="D100">
        <v>2.5</v>
      </c>
      <c r="E100" t="s">
        <v>7</v>
      </c>
      <c r="F100" s="2">
        <f t="shared" si="6"/>
        <v>0.55555555555555547</v>
      </c>
      <c r="G100" s="2">
        <f t="shared" si="7"/>
        <v>0.54166666666666652</v>
      </c>
      <c r="H100" s="2">
        <f>(C100-MIN($C$2:C$148))/(MAX($C$2:$C$148)-MIN($C$2:$C$148))</f>
        <v>0.84745762711864403</v>
      </c>
      <c r="I100" s="2">
        <f>(D100-MIN($D$2:D$148))/(MAX($D$2:$D$148)-MIN($D$2:$D$148))</f>
        <v>1</v>
      </c>
    </row>
    <row r="101" spans="1:9" x14ac:dyDescent="0.25">
      <c r="A101">
        <v>5.8</v>
      </c>
      <c r="B101">
        <v>2.7</v>
      </c>
      <c r="C101">
        <v>5.0999999999999996</v>
      </c>
      <c r="D101">
        <v>1.9</v>
      </c>
      <c r="E101" t="s">
        <v>7</v>
      </c>
      <c r="F101" s="2">
        <f t="shared" si="6"/>
        <v>0.41666666666666663</v>
      </c>
      <c r="G101" s="2">
        <f t="shared" si="7"/>
        <v>0.29166666666666669</v>
      </c>
      <c r="H101" s="2">
        <f>(C101-MIN($C$2:C$148))/(MAX($C$2:$C$148)-MIN($C$2:$C$148))</f>
        <v>0.69491525423728806</v>
      </c>
      <c r="I101" s="2">
        <f>(D101-MIN($D$2:D$148))/(MAX($D$2:$D$148)-MIN($D$2:$D$148))</f>
        <v>0.75</v>
      </c>
    </row>
    <row r="102" spans="1:9" x14ac:dyDescent="0.25">
      <c r="A102">
        <v>7.1</v>
      </c>
      <c r="B102">
        <v>3</v>
      </c>
      <c r="C102">
        <v>5.9</v>
      </c>
      <c r="D102">
        <v>2.1</v>
      </c>
      <c r="E102" t="s">
        <v>7</v>
      </c>
      <c r="F102" s="2">
        <f t="shared" si="6"/>
        <v>0.77777777777777757</v>
      </c>
      <c r="G102" s="2">
        <f t="shared" si="7"/>
        <v>0.41666666666666663</v>
      </c>
      <c r="H102" s="2">
        <f>(C102-MIN($C$2:C$148))/(MAX($C$2:$C$148)-MIN($C$2:$C$148))</f>
        <v>0.83050847457627119</v>
      </c>
      <c r="I102" s="2">
        <f>(D102-MIN($D$2:D$148))/(MAX($D$2:$D$148)-MIN($D$2:$D$148))</f>
        <v>0.83333333333333337</v>
      </c>
    </row>
    <row r="103" spans="1:9" x14ac:dyDescent="0.25">
      <c r="A103">
        <v>6.3</v>
      </c>
      <c r="B103">
        <v>2.9</v>
      </c>
      <c r="C103">
        <v>5.6</v>
      </c>
      <c r="D103">
        <v>1.8</v>
      </c>
      <c r="E103" t="s">
        <v>7</v>
      </c>
      <c r="F103" s="2">
        <f t="shared" si="6"/>
        <v>0.55555555555555547</v>
      </c>
      <c r="G103" s="2">
        <f t="shared" si="7"/>
        <v>0.37499999999999989</v>
      </c>
      <c r="H103" s="2">
        <f>(C103-MIN($C$2:C$148))/(MAX($C$2:$C$148)-MIN($C$2:$C$148))</f>
        <v>0.77966101694915246</v>
      </c>
      <c r="I103" s="2">
        <f>(D103-MIN($D$2:D$148))/(MAX($D$2:$D$148)-MIN($D$2:$D$148))</f>
        <v>0.70833333333333337</v>
      </c>
    </row>
    <row r="104" spans="1:9" x14ac:dyDescent="0.25">
      <c r="A104">
        <v>6.5</v>
      </c>
      <c r="B104">
        <v>3</v>
      </c>
      <c r="C104">
        <v>5.8</v>
      </c>
      <c r="D104">
        <v>2.2000000000000002</v>
      </c>
      <c r="E104" t="s">
        <v>7</v>
      </c>
      <c r="F104" s="2">
        <f t="shared" si="6"/>
        <v>0.61111111111111105</v>
      </c>
      <c r="G104" s="2">
        <f t="shared" si="7"/>
        <v>0.41666666666666663</v>
      </c>
      <c r="H104" s="2">
        <f>(C104-MIN($C$2:C$148))/(MAX($C$2:$C$148)-MIN($C$2:$C$148))</f>
        <v>0.81355932203389825</v>
      </c>
      <c r="I104" s="2">
        <f>(D104-MIN($D$2:D$148))/(MAX($D$2:$D$148)-MIN($D$2:$D$148))</f>
        <v>0.87500000000000011</v>
      </c>
    </row>
    <row r="105" spans="1:9" x14ac:dyDescent="0.25">
      <c r="A105">
        <v>7.6</v>
      </c>
      <c r="B105">
        <v>3</v>
      </c>
      <c r="C105">
        <v>6.6</v>
      </c>
      <c r="D105">
        <v>2.1</v>
      </c>
      <c r="E105" t="s">
        <v>7</v>
      </c>
      <c r="F105" s="2">
        <f t="shared" si="6"/>
        <v>0.91666666666666652</v>
      </c>
      <c r="G105" s="2">
        <f t="shared" si="7"/>
        <v>0.41666666666666663</v>
      </c>
      <c r="H105" s="2">
        <f>(C105-MIN($C$2:C$148))/(MAX($C$2:$C$148)-MIN($C$2:$C$148))</f>
        <v>0.94915254237288127</v>
      </c>
      <c r="I105" s="2">
        <f>(D105-MIN($D$2:D$148))/(MAX($D$2:$D$148)-MIN($D$2:$D$148))</f>
        <v>0.83333333333333337</v>
      </c>
    </row>
    <row r="106" spans="1:9" x14ac:dyDescent="0.25">
      <c r="A106">
        <v>4.9000000000000004</v>
      </c>
      <c r="B106">
        <v>2.5</v>
      </c>
      <c r="C106">
        <v>4.5</v>
      </c>
      <c r="D106">
        <v>1.7</v>
      </c>
      <c r="E106" t="s">
        <v>7</v>
      </c>
      <c r="F106" s="2">
        <f t="shared" si="6"/>
        <v>0.1666666666666668</v>
      </c>
      <c r="G106" s="2">
        <f t="shared" si="7"/>
        <v>0.20833333333333331</v>
      </c>
      <c r="H106" s="2">
        <f>(C106-MIN($C$2:C$148))/(MAX($C$2:$C$148)-MIN($C$2:$C$148))</f>
        <v>0.59322033898305082</v>
      </c>
      <c r="I106" s="2">
        <f>(D106-MIN($D$2:D$148))/(MAX($D$2:$D$148)-MIN($D$2:$D$148))</f>
        <v>0.66666666666666663</v>
      </c>
    </row>
    <row r="107" spans="1:9" x14ac:dyDescent="0.25">
      <c r="A107">
        <v>7.3</v>
      </c>
      <c r="B107">
        <v>2.9</v>
      </c>
      <c r="C107">
        <v>6.3</v>
      </c>
      <c r="D107">
        <v>1.8</v>
      </c>
      <c r="E107" t="s">
        <v>7</v>
      </c>
      <c r="F107" s="2">
        <f t="shared" si="6"/>
        <v>0.83333333333333326</v>
      </c>
      <c r="G107" s="2">
        <f t="shared" si="7"/>
        <v>0.37499999999999989</v>
      </c>
      <c r="H107" s="2">
        <f>(C107-MIN($C$2:C$148))/(MAX($C$2:$C$148)-MIN($C$2:$C$148))</f>
        <v>0.89830508474576265</v>
      </c>
      <c r="I107" s="2">
        <f>(D107-MIN($D$2:D$148))/(MAX($D$2:$D$148)-MIN($D$2:$D$148))</f>
        <v>0.70833333333333337</v>
      </c>
    </row>
    <row r="108" spans="1:9" x14ac:dyDescent="0.25">
      <c r="A108">
        <v>6.7</v>
      </c>
      <c r="B108">
        <v>2.5</v>
      </c>
      <c r="C108">
        <v>5.8</v>
      </c>
      <c r="D108">
        <v>1.8</v>
      </c>
      <c r="E108" t="s">
        <v>7</v>
      </c>
      <c r="F108" s="2">
        <f t="shared" si="6"/>
        <v>0.66666666666666663</v>
      </c>
      <c r="G108" s="2">
        <f t="shared" si="7"/>
        <v>0.20833333333333331</v>
      </c>
      <c r="H108" s="2">
        <f>(C108-MIN($C$2:C$148))/(MAX($C$2:$C$148)-MIN($C$2:$C$148))</f>
        <v>0.81355932203389825</v>
      </c>
      <c r="I108" s="2">
        <f>(D108-MIN($D$2:D$148))/(MAX($D$2:$D$148)-MIN($D$2:$D$148))</f>
        <v>0.70833333333333337</v>
      </c>
    </row>
    <row r="109" spans="1:9" x14ac:dyDescent="0.25">
      <c r="A109">
        <v>7.2</v>
      </c>
      <c r="B109">
        <v>3.6</v>
      </c>
      <c r="C109">
        <v>6.1</v>
      </c>
      <c r="D109">
        <v>2.5</v>
      </c>
      <c r="E109" t="s">
        <v>7</v>
      </c>
      <c r="F109" s="2">
        <f t="shared" si="6"/>
        <v>0.80555555555555558</v>
      </c>
      <c r="G109" s="2">
        <f t="shared" si="7"/>
        <v>0.66666666666666663</v>
      </c>
      <c r="H109" s="2">
        <f>(C109-MIN($C$2:C$148))/(MAX($C$2:$C$148)-MIN($C$2:$C$148))</f>
        <v>0.86440677966101687</v>
      </c>
      <c r="I109" s="2">
        <f>(D109-MIN($D$2:D$148))/(MAX($D$2:$D$148)-MIN($D$2:$D$148))</f>
        <v>1</v>
      </c>
    </row>
    <row r="110" spans="1:9" x14ac:dyDescent="0.25">
      <c r="A110">
        <v>6.5</v>
      </c>
      <c r="B110">
        <v>3.2</v>
      </c>
      <c r="C110">
        <v>5.0999999999999996</v>
      </c>
      <c r="D110">
        <v>2</v>
      </c>
      <c r="E110" t="s">
        <v>7</v>
      </c>
      <c r="F110" s="2">
        <f t="shared" si="6"/>
        <v>0.61111111111111105</v>
      </c>
      <c r="G110" s="2">
        <f t="shared" si="7"/>
        <v>0.5</v>
      </c>
      <c r="H110" s="2">
        <f>(C110-MIN($C$2:C$148))/(MAX($C$2:$C$148)-MIN($C$2:$C$148))</f>
        <v>0.69491525423728806</v>
      </c>
      <c r="I110" s="2">
        <f>(D110-MIN($D$2:D$148))/(MAX($D$2:$D$148)-MIN($D$2:$D$148))</f>
        <v>0.79166666666666663</v>
      </c>
    </row>
    <row r="111" spans="1:9" x14ac:dyDescent="0.25">
      <c r="A111">
        <v>6.4</v>
      </c>
      <c r="B111">
        <v>2.7</v>
      </c>
      <c r="C111">
        <v>5.3</v>
      </c>
      <c r="D111">
        <v>1.9</v>
      </c>
      <c r="E111" t="s">
        <v>7</v>
      </c>
      <c r="F111" s="2">
        <f t="shared" si="6"/>
        <v>0.58333333333333337</v>
      </c>
      <c r="G111" s="2">
        <f t="shared" si="7"/>
        <v>0.29166666666666669</v>
      </c>
      <c r="H111" s="2">
        <f>(C111-MIN($C$2:C$148))/(MAX($C$2:$C$148)-MIN($C$2:$C$148))</f>
        <v>0.72881355932203384</v>
      </c>
      <c r="I111" s="2">
        <f>(D111-MIN($D$2:D$148))/(MAX($D$2:$D$148)-MIN($D$2:$D$148))</f>
        <v>0.75</v>
      </c>
    </row>
    <row r="112" spans="1:9" x14ac:dyDescent="0.25">
      <c r="A112">
        <v>6.8</v>
      </c>
      <c r="B112">
        <v>3</v>
      </c>
      <c r="C112">
        <v>5.5</v>
      </c>
      <c r="D112">
        <v>2.1</v>
      </c>
      <c r="E112" t="s">
        <v>7</v>
      </c>
      <c r="F112" s="2">
        <f t="shared" si="6"/>
        <v>0.69444444444444431</v>
      </c>
      <c r="G112" s="2">
        <f t="shared" si="7"/>
        <v>0.41666666666666663</v>
      </c>
      <c r="H112" s="2">
        <f>(C112-MIN($C$2:C$148))/(MAX($C$2:$C$148)-MIN($C$2:$C$148))</f>
        <v>0.76271186440677963</v>
      </c>
      <c r="I112" s="2">
        <f>(D112-MIN($D$2:D$148))/(MAX($D$2:$D$148)-MIN($D$2:$D$148))</f>
        <v>0.83333333333333337</v>
      </c>
    </row>
    <row r="113" spans="1:9" x14ac:dyDescent="0.25">
      <c r="A113">
        <v>5.7</v>
      </c>
      <c r="B113">
        <v>2.5</v>
      </c>
      <c r="C113">
        <v>5</v>
      </c>
      <c r="D113">
        <v>2</v>
      </c>
      <c r="E113" t="s">
        <v>7</v>
      </c>
      <c r="F113" s="2">
        <f t="shared" si="6"/>
        <v>0.38888888888888895</v>
      </c>
      <c r="G113" s="2">
        <f t="shared" si="7"/>
        <v>0.20833333333333331</v>
      </c>
      <c r="H113" s="2">
        <f>(C113-MIN($C$2:C$148))/(MAX($C$2:$C$148)-MIN($C$2:$C$148))</f>
        <v>0.67796610169491522</v>
      </c>
      <c r="I113" s="2">
        <f>(D113-MIN($D$2:D$148))/(MAX($D$2:$D$148)-MIN($D$2:$D$148))</f>
        <v>0.79166666666666663</v>
      </c>
    </row>
    <row r="114" spans="1:9" x14ac:dyDescent="0.25">
      <c r="A114">
        <v>5.8</v>
      </c>
      <c r="B114">
        <v>2.8</v>
      </c>
      <c r="C114">
        <v>5.0999999999999996</v>
      </c>
      <c r="D114">
        <v>2.4</v>
      </c>
      <c r="E114" t="s">
        <v>7</v>
      </c>
      <c r="F114" s="2">
        <f t="shared" si="6"/>
        <v>0.41666666666666663</v>
      </c>
      <c r="G114" s="2">
        <f t="shared" si="7"/>
        <v>0.3333333333333332</v>
      </c>
      <c r="H114" s="2">
        <f>(C114-MIN($C$2:C$148))/(MAX($C$2:$C$148)-MIN($C$2:$C$148))</f>
        <v>0.69491525423728806</v>
      </c>
      <c r="I114" s="2">
        <f>(D114-MIN($D$2:D$148))/(MAX($D$2:$D$148)-MIN($D$2:$D$148))</f>
        <v>0.95833333333333326</v>
      </c>
    </row>
    <row r="115" spans="1:9" x14ac:dyDescent="0.25">
      <c r="A115">
        <v>6.4</v>
      </c>
      <c r="B115">
        <v>3.2</v>
      </c>
      <c r="C115">
        <v>5.3</v>
      </c>
      <c r="D115">
        <v>2.2999999999999998</v>
      </c>
      <c r="E115" t="s">
        <v>7</v>
      </c>
      <c r="F115" s="2">
        <f t="shared" si="6"/>
        <v>0.58333333333333337</v>
      </c>
      <c r="G115" s="2">
        <f t="shared" si="7"/>
        <v>0.5</v>
      </c>
      <c r="H115" s="2">
        <f>(C115-MIN($C$2:C$148))/(MAX($C$2:$C$148)-MIN($C$2:$C$148))</f>
        <v>0.72881355932203384</v>
      </c>
      <c r="I115" s="2">
        <f>(D115-MIN($D$2:D$148))/(MAX($D$2:$D$148)-MIN($D$2:$D$148))</f>
        <v>0.91666666666666663</v>
      </c>
    </row>
    <row r="116" spans="1:9" x14ac:dyDescent="0.25">
      <c r="A116">
        <v>6.5</v>
      </c>
      <c r="B116">
        <v>3</v>
      </c>
      <c r="C116">
        <v>5.5</v>
      </c>
      <c r="D116">
        <v>1.8</v>
      </c>
      <c r="E116" t="s">
        <v>7</v>
      </c>
      <c r="F116" s="2">
        <f t="shared" si="6"/>
        <v>0.61111111111111105</v>
      </c>
      <c r="G116" s="2">
        <f t="shared" si="7"/>
        <v>0.41666666666666663</v>
      </c>
      <c r="H116" s="2">
        <f>(C116-MIN($C$2:C$148))/(MAX($C$2:$C$148)-MIN($C$2:$C$148))</f>
        <v>0.76271186440677963</v>
      </c>
      <c r="I116" s="2">
        <f>(D116-MIN($D$2:D$148))/(MAX($D$2:$D$148)-MIN($D$2:$D$148))</f>
        <v>0.70833333333333337</v>
      </c>
    </row>
    <row r="117" spans="1:9" x14ac:dyDescent="0.25">
      <c r="A117">
        <v>7.7</v>
      </c>
      <c r="B117">
        <v>3.8</v>
      </c>
      <c r="C117">
        <v>6.7</v>
      </c>
      <c r="D117">
        <v>2.2000000000000002</v>
      </c>
      <c r="E117" t="s">
        <v>7</v>
      </c>
      <c r="F117" s="2">
        <f t="shared" si="6"/>
        <v>0.94444444444444442</v>
      </c>
      <c r="G117" s="2">
        <f t="shared" si="7"/>
        <v>0.74999999999999978</v>
      </c>
      <c r="H117" s="2">
        <f>(C117-MIN($C$2:C$148))/(MAX($C$2:$C$148)-MIN($C$2:$C$148))</f>
        <v>0.96610169491525422</v>
      </c>
      <c r="I117" s="2">
        <f>(D117-MIN($D$2:D$148))/(MAX($D$2:$D$148)-MIN($D$2:$D$148))</f>
        <v>0.87500000000000011</v>
      </c>
    </row>
    <row r="118" spans="1:9" x14ac:dyDescent="0.25">
      <c r="A118">
        <v>7.7</v>
      </c>
      <c r="B118">
        <v>2.6</v>
      </c>
      <c r="C118">
        <v>6.9</v>
      </c>
      <c r="D118">
        <v>2.2999999999999998</v>
      </c>
      <c r="E118" t="s">
        <v>7</v>
      </c>
      <c r="F118" s="2">
        <f t="shared" si="6"/>
        <v>0.94444444444444442</v>
      </c>
      <c r="G118" s="2">
        <f t="shared" si="7"/>
        <v>0.25</v>
      </c>
      <c r="H118" s="2">
        <f>(C118-MIN($C$2:C$148))/(MAX($C$2:$C$148)-MIN($C$2:$C$148))</f>
        <v>1</v>
      </c>
      <c r="I118" s="2">
        <f>(D118-MIN($D$2:D$148))/(MAX($D$2:$D$148)-MIN($D$2:$D$148))</f>
        <v>0.91666666666666663</v>
      </c>
    </row>
    <row r="119" spans="1:9" x14ac:dyDescent="0.25">
      <c r="A119">
        <v>6</v>
      </c>
      <c r="B119">
        <v>2.2000000000000002</v>
      </c>
      <c r="C119">
        <v>5</v>
      </c>
      <c r="D119">
        <v>1.5</v>
      </c>
      <c r="E119" t="s">
        <v>7</v>
      </c>
      <c r="F119" s="2">
        <f t="shared" si="6"/>
        <v>0.47222222222222221</v>
      </c>
      <c r="G119" s="2">
        <f t="shared" si="7"/>
        <v>8.3333333333333398E-2</v>
      </c>
      <c r="H119" s="2">
        <f>(C119-MIN($C$2:C$148))/(MAX($C$2:$C$148)-MIN($C$2:$C$148))</f>
        <v>0.67796610169491522</v>
      </c>
      <c r="I119" s="2">
        <f>(D119-MIN($D$2:D$148))/(MAX($D$2:$D$148)-MIN($D$2:$D$148))</f>
        <v>0.58333333333333337</v>
      </c>
    </row>
    <row r="120" spans="1:9" x14ac:dyDescent="0.25">
      <c r="A120">
        <v>6.9</v>
      </c>
      <c r="B120">
        <v>3.2</v>
      </c>
      <c r="C120">
        <v>5.7</v>
      </c>
      <c r="D120">
        <v>2.2999999999999998</v>
      </c>
      <c r="E120" t="s">
        <v>7</v>
      </c>
      <c r="F120" s="2">
        <f t="shared" si="6"/>
        <v>0.72222222222222221</v>
      </c>
      <c r="G120" s="2">
        <f t="shared" si="7"/>
        <v>0.5</v>
      </c>
      <c r="H120" s="2">
        <f>(C120-MIN($C$2:C$148))/(MAX($C$2:$C$148)-MIN($C$2:$C$148))</f>
        <v>0.79661016949152541</v>
      </c>
      <c r="I120" s="2">
        <f>(D120-MIN($D$2:D$148))/(MAX($D$2:$D$148)-MIN($D$2:$D$148))</f>
        <v>0.91666666666666663</v>
      </c>
    </row>
    <row r="121" spans="1:9" x14ac:dyDescent="0.25">
      <c r="A121">
        <v>5.6</v>
      </c>
      <c r="B121">
        <v>2.8</v>
      </c>
      <c r="C121">
        <v>4.9000000000000004</v>
      </c>
      <c r="D121">
        <v>2</v>
      </c>
      <c r="E121" t="s">
        <v>7</v>
      </c>
      <c r="F121" s="2">
        <f t="shared" si="6"/>
        <v>0.36111111111111099</v>
      </c>
      <c r="G121" s="2">
        <f t="shared" si="7"/>
        <v>0.3333333333333332</v>
      </c>
      <c r="H121" s="2">
        <f>(C121-MIN($C$2:C$148))/(MAX($C$2:$C$148)-MIN($C$2:$C$148))</f>
        <v>0.66101694915254239</v>
      </c>
      <c r="I121" s="2">
        <f>(D121-MIN($D$2:D$148))/(MAX($D$2:$D$148)-MIN($D$2:$D$148))</f>
        <v>0.79166666666666663</v>
      </c>
    </row>
    <row r="122" spans="1:9" x14ac:dyDescent="0.25">
      <c r="A122">
        <v>7.7</v>
      </c>
      <c r="B122">
        <v>2.8</v>
      </c>
      <c r="C122">
        <v>6.7</v>
      </c>
      <c r="D122">
        <v>2</v>
      </c>
      <c r="E122" t="s">
        <v>7</v>
      </c>
      <c r="F122" s="2">
        <f t="shared" si="6"/>
        <v>0.94444444444444442</v>
      </c>
      <c r="G122" s="2">
        <f t="shared" si="7"/>
        <v>0.3333333333333332</v>
      </c>
      <c r="H122" s="2">
        <f>(C122-MIN($C$2:C$148))/(MAX($C$2:$C$148)-MIN($C$2:$C$148))</f>
        <v>0.96610169491525422</v>
      </c>
      <c r="I122" s="2">
        <f>(D122-MIN($D$2:D$148))/(MAX($D$2:$D$148)-MIN($D$2:$D$148))</f>
        <v>0.79166666666666663</v>
      </c>
    </row>
    <row r="123" spans="1:9" x14ac:dyDescent="0.25">
      <c r="A123">
        <v>6.3</v>
      </c>
      <c r="B123">
        <v>2.7</v>
      </c>
      <c r="C123">
        <v>4.9000000000000004</v>
      </c>
      <c r="D123">
        <v>1.8</v>
      </c>
      <c r="E123" t="s">
        <v>7</v>
      </c>
      <c r="F123" s="2">
        <f t="shared" si="6"/>
        <v>0.55555555555555547</v>
      </c>
      <c r="G123" s="2">
        <f t="shared" si="7"/>
        <v>0.29166666666666669</v>
      </c>
      <c r="H123" s="2">
        <f>(C123-MIN($C$2:C$148))/(MAX($C$2:$C$148)-MIN($C$2:$C$148))</f>
        <v>0.66101694915254239</v>
      </c>
      <c r="I123" s="2">
        <f>(D123-MIN($D$2:D$148))/(MAX($D$2:$D$148)-MIN($D$2:$D$148))</f>
        <v>0.70833333333333337</v>
      </c>
    </row>
    <row r="124" spans="1:9" x14ac:dyDescent="0.25">
      <c r="A124">
        <v>6.7</v>
      </c>
      <c r="B124">
        <v>3.3</v>
      </c>
      <c r="C124">
        <v>5.7</v>
      </c>
      <c r="D124">
        <v>2.1</v>
      </c>
      <c r="E124" t="s">
        <v>7</v>
      </c>
      <c r="F124" s="2">
        <f t="shared" si="6"/>
        <v>0.66666666666666663</v>
      </c>
      <c r="G124" s="2">
        <f t="shared" si="7"/>
        <v>0.54166666666666652</v>
      </c>
      <c r="H124" s="2">
        <f>(C124-MIN($C$2:C$148))/(MAX($C$2:$C$148)-MIN($C$2:$C$148))</f>
        <v>0.79661016949152541</v>
      </c>
      <c r="I124" s="2">
        <f>(D124-MIN($D$2:D$148))/(MAX($D$2:$D$148)-MIN($D$2:$D$148))</f>
        <v>0.83333333333333337</v>
      </c>
    </row>
    <row r="125" spans="1:9" x14ac:dyDescent="0.25">
      <c r="A125">
        <v>7.2</v>
      </c>
      <c r="B125">
        <v>3.2</v>
      </c>
      <c r="C125">
        <v>6</v>
      </c>
      <c r="D125">
        <v>1.8</v>
      </c>
      <c r="E125" t="s">
        <v>7</v>
      </c>
      <c r="F125" s="2">
        <f t="shared" si="6"/>
        <v>0.80555555555555558</v>
      </c>
      <c r="G125" s="2">
        <f t="shared" si="7"/>
        <v>0.5</v>
      </c>
      <c r="H125" s="2">
        <f>(C125-MIN($C$2:C$148))/(MAX($C$2:$C$148)-MIN($C$2:$C$148))</f>
        <v>0.84745762711864403</v>
      </c>
      <c r="I125" s="2">
        <f>(D125-MIN($D$2:D$148))/(MAX($D$2:$D$148)-MIN($D$2:$D$148))</f>
        <v>0.70833333333333337</v>
      </c>
    </row>
    <row r="126" spans="1:9" x14ac:dyDescent="0.25">
      <c r="A126">
        <v>6.2</v>
      </c>
      <c r="B126">
        <v>2.8</v>
      </c>
      <c r="C126">
        <v>4.8</v>
      </c>
      <c r="D126">
        <v>1.8</v>
      </c>
      <c r="E126" t="s">
        <v>7</v>
      </c>
      <c r="F126" s="2">
        <f t="shared" si="6"/>
        <v>0.52777777777777779</v>
      </c>
      <c r="G126" s="2">
        <f t="shared" si="7"/>
        <v>0.3333333333333332</v>
      </c>
      <c r="H126" s="2">
        <f>(C126-MIN($C$2:C$148))/(MAX($C$2:$C$148)-MIN($C$2:$C$148))</f>
        <v>0.64406779661016944</v>
      </c>
      <c r="I126" s="2">
        <f>(D126-MIN($D$2:D$148))/(MAX($D$2:$D$148)-MIN($D$2:$D$148))</f>
        <v>0.70833333333333337</v>
      </c>
    </row>
    <row r="127" spans="1:9" x14ac:dyDescent="0.25">
      <c r="A127">
        <v>6.1</v>
      </c>
      <c r="B127">
        <v>3</v>
      </c>
      <c r="C127">
        <v>4.9000000000000004</v>
      </c>
      <c r="D127">
        <v>1.8</v>
      </c>
      <c r="E127" t="s">
        <v>7</v>
      </c>
      <c r="F127" s="2">
        <f t="shared" si="6"/>
        <v>0.49999999999999989</v>
      </c>
      <c r="G127" s="2">
        <f t="shared" si="7"/>
        <v>0.41666666666666663</v>
      </c>
      <c r="H127" s="2">
        <f>(C127-MIN($C$2:C$148))/(MAX($C$2:$C$148)-MIN($C$2:$C$148))</f>
        <v>0.66101694915254239</v>
      </c>
      <c r="I127" s="2">
        <f>(D127-MIN($D$2:D$148))/(MAX($D$2:$D$148)-MIN($D$2:$D$148))</f>
        <v>0.70833333333333337</v>
      </c>
    </row>
    <row r="128" spans="1:9" x14ac:dyDescent="0.25">
      <c r="A128">
        <v>6.4</v>
      </c>
      <c r="B128">
        <v>2.8</v>
      </c>
      <c r="C128">
        <v>5.6</v>
      </c>
      <c r="D128">
        <v>2.1</v>
      </c>
      <c r="E128" t="s">
        <v>7</v>
      </c>
      <c r="F128" s="2">
        <f t="shared" si="6"/>
        <v>0.58333333333333337</v>
      </c>
      <c r="G128" s="2">
        <f t="shared" si="7"/>
        <v>0.3333333333333332</v>
      </c>
      <c r="H128" s="2">
        <f>(C128-MIN($C$2:C$148))/(MAX($C$2:$C$148)-MIN($C$2:$C$148))</f>
        <v>0.77966101694915246</v>
      </c>
      <c r="I128" s="2">
        <f>(D128-MIN($D$2:D$148))/(MAX($D$2:$D$148)-MIN($D$2:$D$148))</f>
        <v>0.83333333333333337</v>
      </c>
    </row>
    <row r="129" spans="1:9" x14ac:dyDescent="0.25">
      <c r="A129">
        <v>7.2</v>
      </c>
      <c r="B129">
        <v>3</v>
      </c>
      <c r="C129">
        <v>5.8</v>
      </c>
      <c r="D129">
        <v>1.6</v>
      </c>
      <c r="E129" t="s">
        <v>7</v>
      </c>
      <c r="F129" s="2">
        <f t="shared" si="6"/>
        <v>0.80555555555555558</v>
      </c>
      <c r="G129" s="2">
        <f t="shared" si="7"/>
        <v>0.41666666666666663</v>
      </c>
      <c r="H129" s="2">
        <f>(C129-MIN($C$2:C$148))/(MAX($C$2:$C$148)-MIN($C$2:$C$148))</f>
        <v>0.81355932203389825</v>
      </c>
      <c r="I129" s="2">
        <f>(D129-MIN($D$2:D$148))/(MAX($D$2:$D$148)-MIN($D$2:$D$148))</f>
        <v>0.625</v>
      </c>
    </row>
    <row r="130" spans="1:9" x14ac:dyDescent="0.25">
      <c r="A130">
        <v>7.4</v>
      </c>
      <c r="B130">
        <v>2.8</v>
      </c>
      <c r="C130">
        <v>6.1</v>
      </c>
      <c r="D130">
        <v>1.9</v>
      </c>
      <c r="E130" t="s">
        <v>7</v>
      </c>
      <c r="F130" s="2">
        <f t="shared" ref="F130:F148" si="8">(A130-MIN($A$2:$A$148))/(MAX($A$2:$A$148)-MIN($A$2:$A$148))</f>
        <v>0.86111111111111116</v>
      </c>
      <c r="G130" s="2">
        <f t="shared" ref="G130:G148" si="9">(B130-MIN($B$2:$B$148))/(MAX($B$2:$B$148)-MIN($B$2:$B$148))</f>
        <v>0.3333333333333332</v>
      </c>
      <c r="H130" s="2">
        <f>(C130-MIN($C$2:C$148))/(MAX($C$2:$C$148)-MIN($C$2:$C$148))</f>
        <v>0.86440677966101687</v>
      </c>
      <c r="I130" s="2">
        <f>(D130-MIN($D$2:D$148))/(MAX($D$2:$D$148)-MIN($D$2:$D$148))</f>
        <v>0.75</v>
      </c>
    </row>
    <row r="131" spans="1:9" x14ac:dyDescent="0.25">
      <c r="A131">
        <v>7.9</v>
      </c>
      <c r="B131">
        <v>3.8</v>
      </c>
      <c r="C131">
        <v>6.4</v>
      </c>
      <c r="D131">
        <v>2</v>
      </c>
      <c r="E131" t="s">
        <v>7</v>
      </c>
      <c r="F131" s="2">
        <f t="shared" si="8"/>
        <v>1</v>
      </c>
      <c r="G131" s="2">
        <f t="shared" si="9"/>
        <v>0.74999999999999978</v>
      </c>
      <c r="H131" s="2">
        <f>(C131-MIN($C$2:C$148))/(MAX($C$2:$C$148)-MIN($C$2:$C$148))</f>
        <v>0.9152542372881356</v>
      </c>
      <c r="I131" s="2">
        <f>(D131-MIN($D$2:D$148))/(MAX($D$2:$D$148)-MIN($D$2:$D$148))</f>
        <v>0.79166666666666663</v>
      </c>
    </row>
    <row r="132" spans="1:9" x14ac:dyDescent="0.25">
      <c r="A132">
        <v>6.4</v>
      </c>
      <c r="B132">
        <v>2.8</v>
      </c>
      <c r="C132">
        <v>5.6</v>
      </c>
      <c r="D132">
        <v>2.2000000000000002</v>
      </c>
      <c r="E132" t="s">
        <v>7</v>
      </c>
      <c r="F132" s="2">
        <f t="shared" si="8"/>
        <v>0.58333333333333337</v>
      </c>
      <c r="G132" s="2">
        <f t="shared" si="9"/>
        <v>0.3333333333333332</v>
      </c>
      <c r="H132" s="2">
        <f>(C132-MIN($C$2:C$148))/(MAX($C$2:$C$148)-MIN($C$2:$C$148))</f>
        <v>0.77966101694915246</v>
      </c>
      <c r="I132" s="2">
        <f>(D132-MIN($D$2:D$148))/(MAX($D$2:$D$148)-MIN($D$2:$D$148))</f>
        <v>0.87500000000000011</v>
      </c>
    </row>
    <row r="133" spans="1:9" x14ac:dyDescent="0.25">
      <c r="A133">
        <v>6.3</v>
      </c>
      <c r="B133">
        <v>2.8</v>
      </c>
      <c r="C133">
        <v>5.0999999999999996</v>
      </c>
      <c r="D133">
        <v>1.5</v>
      </c>
      <c r="E133" t="s">
        <v>7</v>
      </c>
      <c r="F133" s="2">
        <f t="shared" si="8"/>
        <v>0.55555555555555547</v>
      </c>
      <c r="G133" s="2">
        <f t="shared" si="9"/>
        <v>0.3333333333333332</v>
      </c>
      <c r="H133" s="2">
        <f>(C133-MIN($C$2:C$148))/(MAX($C$2:$C$148)-MIN($C$2:$C$148))</f>
        <v>0.69491525423728806</v>
      </c>
      <c r="I133" s="2">
        <f>(D133-MIN($D$2:D$148))/(MAX($D$2:$D$148)-MIN($D$2:$D$148))</f>
        <v>0.58333333333333337</v>
      </c>
    </row>
    <row r="134" spans="1:9" x14ac:dyDescent="0.25">
      <c r="A134">
        <v>6.1</v>
      </c>
      <c r="B134">
        <v>2.6</v>
      </c>
      <c r="C134">
        <v>5.6</v>
      </c>
      <c r="D134">
        <v>1.4</v>
      </c>
      <c r="E134" t="s">
        <v>7</v>
      </c>
      <c r="F134" s="2">
        <f t="shared" si="8"/>
        <v>0.49999999999999989</v>
      </c>
      <c r="G134" s="2">
        <f t="shared" si="9"/>
        <v>0.25</v>
      </c>
      <c r="H134" s="2">
        <f>(C134-MIN($C$2:C$148))/(MAX($C$2:$C$148)-MIN($C$2:$C$148))</f>
        <v>0.77966101694915246</v>
      </c>
      <c r="I134" s="2">
        <f>(D134-MIN($D$2:D$148))/(MAX($D$2:$D$148)-MIN($D$2:$D$148))</f>
        <v>0.54166666666666663</v>
      </c>
    </row>
    <row r="135" spans="1:9" x14ac:dyDescent="0.25">
      <c r="A135">
        <v>7.7</v>
      </c>
      <c r="B135">
        <v>3</v>
      </c>
      <c r="C135">
        <v>6.1</v>
      </c>
      <c r="D135">
        <v>2.2999999999999998</v>
      </c>
      <c r="E135" t="s">
        <v>7</v>
      </c>
      <c r="F135" s="2">
        <f t="shared" si="8"/>
        <v>0.94444444444444442</v>
      </c>
      <c r="G135" s="2">
        <f t="shared" si="9"/>
        <v>0.41666666666666663</v>
      </c>
      <c r="H135" s="2">
        <f>(C135-MIN($C$2:C$148))/(MAX($C$2:$C$148)-MIN($C$2:$C$148))</f>
        <v>0.86440677966101687</v>
      </c>
      <c r="I135" s="2">
        <f>(D135-MIN($D$2:D$148))/(MAX($D$2:$D$148)-MIN($D$2:$D$148))</f>
        <v>0.91666666666666663</v>
      </c>
    </row>
    <row r="136" spans="1:9" x14ac:dyDescent="0.25">
      <c r="A136">
        <v>6.3</v>
      </c>
      <c r="B136">
        <v>3.4</v>
      </c>
      <c r="C136">
        <v>5.6</v>
      </c>
      <c r="D136">
        <v>2.4</v>
      </c>
      <c r="E136" t="s">
        <v>7</v>
      </c>
      <c r="F136" s="2">
        <f t="shared" si="8"/>
        <v>0.55555555555555547</v>
      </c>
      <c r="G136" s="2">
        <f t="shared" si="9"/>
        <v>0.58333333333333326</v>
      </c>
      <c r="H136" s="2">
        <f>(C136-MIN($C$2:C$148))/(MAX($C$2:$C$148)-MIN($C$2:$C$148))</f>
        <v>0.77966101694915246</v>
      </c>
      <c r="I136" s="2">
        <f>(D136-MIN($D$2:D$148))/(MAX($D$2:$D$148)-MIN($D$2:$D$148))</f>
        <v>0.95833333333333326</v>
      </c>
    </row>
    <row r="137" spans="1:9" x14ac:dyDescent="0.25">
      <c r="A137">
        <v>6.4</v>
      </c>
      <c r="B137">
        <v>3.1</v>
      </c>
      <c r="C137">
        <v>5.5</v>
      </c>
      <c r="D137">
        <v>1.8</v>
      </c>
      <c r="E137" t="s">
        <v>7</v>
      </c>
      <c r="F137" s="2">
        <f t="shared" si="8"/>
        <v>0.58333333333333337</v>
      </c>
      <c r="G137" s="2">
        <f t="shared" si="9"/>
        <v>0.45833333333333331</v>
      </c>
      <c r="H137" s="2">
        <f>(C137-MIN($C$2:C$148))/(MAX($C$2:$C$148)-MIN($C$2:$C$148))</f>
        <v>0.76271186440677963</v>
      </c>
      <c r="I137" s="2">
        <f>(D137-MIN($D$2:D$148))/(MAX($D$2:$D$148)-MIN($D$2:$D$148))</f>
        <v>0.70833333333333337</v>
      </c>
    </row>
    <row r="138" spans="1:9" x14ac:dyDescent="0.25">
      <c r="A138">
        <v>6</v>
      </c>
      <c r="B138">
        <v>3</v>
      </c>
      <c r="C138">
        <v>4.8</v>
      </c>
      <c r="D138">
        <v>1.8</v>
      </c>
      <c r="E138" t="s">
        <v>7</v>
      </c>
      <c r="F138" s="2">
        <f t="shared" si="8"/>
        <v>0.47222222222222221</v>
      </c>
      <c r="G138" s="2">
        <f t="shared" si="9"/>
        <v>0.41666666666666663</v>
      </c>
      <c r="H138" s="2">
        <f>(C138-MIN($C$2:C$148))/(MAX($C$2:$C$148)-MIN($C$2:$C$148))</f>
        <v>0.64406779661016944</v>
      </c>
      <c r="I138" s="2">
        <f>(D138-MIN($D$2:D$148))/(MAX($D$2:$D$148)-MIN($D$2:$D$148))</f>
        <v>0.70833333333333337</v>
      </c>
    </row>
    <row r="139" spans="1:9" x14ac:dyDescent="0.25">
      <c r="A139">
        <v>6.9</v>
      </c>
      <c r="B139">
        <v>3.1</v>
      </c>
      <c r="C139">
        <v>5.4</v>
      </c>
      <c r="D139">
        <v>2.1</v>
      </c>
      <c r="E139" t="s">
        <v>7</v>
      </c>
      <c r="F139" s="2">
        <f t="shared" si="8"/>
        <v>0.72222222222222221</v>
      </c>
      <c r="G139" s="2">
        <f t="shared" si="9"/>
        <v>0.45833333333333331</v>
      </c>
      <c r="H139" s="2">
        <f>(C139-MIN($C$2:C$148))/(MAX($C$2:$C$148)-MIN($C$2:$C$148))</f>
        <v>0.74576271186440679</v>
      </c>
      <c r="I139" s="2">
        <f>(D139-MIN($D$2:D$148))/(MAX($D$2:$D$148)-MIN($D$2:$D$148))</f>
        <v>0.83333333333333337</v>
      </c>
    </row>
    <row r="140" spans="1:9" x14ac:dyDescent="0.25">
      <c r="A140">
        <v>6.7</v>
      </c>
      <c r="B140">
        <v>3.1</v>
      </c>
      <c r="C140">
        <v>5.6</v>
      </c>
      <c r="D140">
        <v>2.4</v>
      </c>
      <c r="E140" t="s">
        <v>7</v>
      </c>
      <c r="F140" s="2">
        <f t="shared" si="8"/>
        <v>0.66666666666666663</v>
      </c>
      <c r="G140" s="2">
        <f t="shared" si="9"/>
        <v>0.45833333333333331</v>
      </c>
      <c r="H140" s="2">
        <f>(C140-MIN($C$2:C$148))/(MAX($C$2:$C$148)-MIN($C$2:$C$148))</f>
        <v>0.77966101694915246</v>
      </c>
      <c r="I140" s="2">
        <f>(D140-MIN($D$2:D$148))/(MAX($D$2:$D$148)-MIN($D$2:$D$148))</f>
        <v>0.95833333333333326</v>
      </c>
    </row>
    <row r="141" spans="1:9" x14ac:dyDescent="0.25">
      <c r="A141">
        <v>6.9</v>
      </c>
      <c r="B141">
        <v>3.1</v>
      </c>
      <c r="C141">
        <v>5.0999999999999996</v>
      </c>
      <c r="D141">
        <v>2.2999999999999998</v>
      </c>
      <c r="E141" t="s">
        <v>7</v>
      </c>
      <c r="F141" s="2">
        <f t="shared" si="8"/>
        <v>0.72222222222222221</v>
      </c>
      <c r="G141" s="2">
        <f t="shared" si="9"/>
        <v>0.45833333333333331</v>
      </c>
      <c r="H141" s="2">
        <f>(C141-MIN($C$2:C$148))/(MAX($C$2:$C$148)-MIN($C$2:$C$148))</f>
        <v>0.69491525423728806</v>
      </c>
      <c r="I141" s="2">
        <f>(D141-MIN($D$2:D$148))/(MAX($D$2:$D$148)-MIN($D$2:$D$148))</f>
        <v>0.91666666666666663</v>
      </c>
    </row>
    <row r="142" spans="1:9" x14ac:dyDescent="0.25">
      <c r="A142">
        <v>6.8</v>
      </c>
      <c r="B142">
        <v>3.2</v>
      </c>
      <c r="C142">
        <v>5.9</v>
      </c>
      <c r="D142">
        <v>2.2999999999999998</v>
      </c>
      <c r="E142" t="s">
        <v>7</v>
      </c>
      <c r="F142" s="2">
        <f t="shared" si="8"/>
        <v>0.69444444444444431</v>
      </c>
      <c r="G142" s="2">
        <f t="shared" si="9"/>
        <v>0.5</v>
      </c>
      <c r="H142" s="2">
        <f>(C142-MIN($C$2:C$148))/(MAX($C$2:$C$148)-MIN($C$2:$C$148))</f>
        <v>0.83050847457627119</v>
      </c>
      <c r="I142" s="2">
        <f>(D142-MIN($D$2:D$148))/(MAX($D$2:$D$148)-MIN($D$2:$D$148))</f>
        <v>0.91666666666666663</v>
      </c>
    </row>
    <row r="143" spans="1:9" x14ac:dyDescent="0.25">
      <c r="A143">
        <v>6.7</v>
      </c>
      <c r="B143">
        <v>3.3</v>
      </c>
      <c r="C143">
        <v>5.7</v>
      </c>
      <c r="D143">
        <v>2.5</v>
      </c>
      <c r="E143" t="s">
        <v>7</v>
      </c>
      <c r="F143" s="2">
        <f t="shared" si="8"/>
        <v>0.66666666666666663</v>
      </c>
      <c r="G143" s="2">
        <f t="shared" si="9"/>
        <v>0.54166666666666652</v>
      </c>
      <c r="H143" s="2">
        <f>(C143-MIN($C$2:C$148))/(MAX($C$2:$C$148)-MIN($C$2:$C$148))</f>
        <v>0.79661016949152541</v>
      </c>
      <c r="I143" s="2">
        <f>(D143-MIN($D$2:D$148))/(MAX($D$2:$D$148)-MIN($D$2:$D$148))</f>
        <v>1</v>
      </c>
    </row>
    <row r="144" spans="1:9" x14ac:dyDescent="0.25">
      <c r="A144">
        <v>6.7</v>
      </c>
      <c r="B144">
        <v>3</v>
      </c>
      <c r="C144">
        <v>5.2</v>
      </c>
      <c r="D144">
        <v>2.2999999999999998</v>
      </c>
      <c r="E144" t="s">
        <v>7</v>
      </c>
      <c r="F144" s="2">
        <f t="shared" si="8"/>
        <v>0.66666666666666663</v>
      </c>
      <c r="G144" s="2">
        <f t="shared" si="9"/>
        <v>0.41666666666666663</v>
      </c>
      <c r="H144" s="2">
        <f>(C144-MIN($C$2:C$148))/(MAX($C$2:$C$148)-MIN($C$2:$C$148))</f>
        <v>0.71186440677966101</v>
      </c>
      <c r="I144" s="2">
        <f>(D144-MIN($D$2:D$148))/(MAX($D$2:$D$148)-MIN($D$2:$D$148))</f>
        <v>0.91666666666666663</v>
      </c>
    </row>
    <row r="145" spans="1:9" x14ac:dyDescent="0.25">
      <c r="A145">
        <v>6.3</v>
      </c>
      <c r="B145">
        <v>2.5</v>
      </c>
      <c r="C145">
        <v>5</v>
      </c>
      <c r="D145">
        <v>1.9</v>
      </c>
      <c r="E145" t="s">
        <v>7</v>
      </c>
      <c r="F145" s="2">
        <f t="shared" si="8"/>
        <v>0.55555555555555547</v>
      </c>
      <c r="G145" s="2">
        <f t="shared" si="9"/>
        <v>0.20833333333333331</v>
      </c>
      <c r="H145" s="2">
        <f>(C145-MIN($C$2:C$148))/(MAX($C$2:$C$148)-MIN($C$2:$C$148))</f>
        <v>0.67796610169491522</v>
      </c>
      <c r="I145" s="2">
        <f>(D145-MIN($D$2:D$148))/(MAX($D$2:$D$148)-MIN($D$2:$D$148))</f>
        <v>0.75</v>
      </c>
    </row>
    <row r="146" spans="1:9" x14ac:dyDescent="0.25">
      <c r="A146">
        <v>6.5</v>
      </c>
      <c r="B146">
        <v>3</v>
      </c>
      <c r="C146">
        <v>5.2</v>
      </c>
      <c r="D146">
        <v>2</v>
      </c>
      <c r="E146" t="s">
        <v>7</v>
      </c>
      <c r="F146" s="2">
        <f t="shared" si="8"/>
        <v>0.61111111111111105</v>
      </c>
      <c r="G146" s="2">
        <f t="shared" si="9"/>
        <v>0.41666666666666663</v>
      </c>
      <c r="H146" s="2">
        <f>(C146-MIN($C$2:C$148))/(MAX($C$2:$C$148)-MIN($C$2:$C$148))</f>
        <v>0.71186440677966101</v>
      </c>
      <c r="I146" s="2">
        <f>(D146-MIN($D$2:D$148))/(MAX($D$2:$D$148)-MIN($D$2:$D$148))</f>
        <v>0.79166666666666663</v>
      </c>
    </row>
    <row r="147" spans="1:9" x14ac:dyDescent="0.25">
      <c r="A147">
        <v>6.2</v>
      </c>
      <c r="B147">
        <v>3.4</v>
      </c>
      <c r="C147">
        <v>5.4</v>
      </c>
      <c r="D147">
        <v>2.2999999999999998</v>
      </c>
      <c r="E147" t="s">
        <v>7</v>
      </c>
      <c r="F147" s="2">
        <f t="shared" si="8"/>
        <v>0.52777777777777779</v>
      </c>
      <c r="G147" s="2">
        <f t="shared" si="9"/>
        <v>0.58333333333333326</v>
      </c>
      <c r="H147" s="2">
        <f>(C147-MIN($C$2:C$148))/(MAX($C$2:$C$148)-MIN($C$2:$C$148))</f>
        <v>0.74576271186440679</v>
      </c>
      <c r="I147" s="2">
        <f>(D147-MIN($D$2:D$148))/(MAX($D$2:$D$148)-MIN($D$2:$D$148))</f>
        <v>0.91666666666666663</v>
      </c>
    </row>
    <row r="148" spans="1:9" x14ac:dyDescent="0.25">
      <c r="A148">
        <v>5.9</v>
      </c>
      <c r="B148">
        <v>3</v>
      </c>
      <c r="C148">
        <v>5.0999999999999996</v>
      </c>
      <c r="D148">
        <v>1.8</v>
      </c>
      <c r="E148" t="s">
        <v>7</v>
      </c>
      <c r="F148" s="2">
        <f t="shared" si="8"/>
        <v>0.44444444444444453</v>
      </c>
      <c r="G148" s="2">
        <f t="shared" si="9"/>
        <v>0.41666666666666663</v>
      </c>
      <c r="H148" s="2">
        <f>(C148-MIN($C$2:C$148))/(MAX($C$2:$C$148)-MIN($C$2:$C$148))</f>
        <v>0.69491525423728806</v>
      </c>
      <c r="I148" s="2">
        <f>(D148-MIN($D$2:D$148))/(MAX($D$2:$D$148)-MIN($D$2:$D$148))</f>
        <v>0.70833333333333337</v>
      </c>
    </row>
    <row r="149" spans="1:9" x14ac:dyDescent="0.25">
      <c r="H149" s="2"/>
      <c r="I149" s="2"/>
    </row>
    <row r="150" spans="1:9" x14ac:dyDescent="0.25">
      <c r="H150" s="2"/>
      <c r="I15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0ED8-F923-474F-A523-8E987EB09A91}">
  <dimension ref="A1:T2667"/>
  <sheetViews>
    <sheetView topLeftCell="D2644" workbookViewId="0">
      <selection activeCell="D2668" sqref="A2668:XFD2668"/>
    </sheetView>
  </sheetViews>
  <sheetFormatPr defaultRowHeight="15" x14ac:dyDescent="0.25"/>
  <cols>
    <col min="1" max="1" width="8" bestFit="1" customWidth="1"/>
    <col min="2" max="2" width="16.85546875" bestFit="1" customWidth="1"/>
    <col min="3" max="3" width="12.140625" bestFit="1" customWidth="1"/>
    <col min="4" max="4" width="19.28515625" bestFit="1" customWidth="1"/>
    <col min="5" max="5" width="17" bestFit="1" customWidth="1"/>
    <col min="6" max="6" width="25.7109375" bestFit="1" customWidth="1"/>
    <col min="7" max="7" width="19.28515625" bestFit="1" customWidth="1"/>
    <col min="8" max="8" width="16" bestFit="1" customWidth="1"/>
    <col min="9" max="9" width="17.85546875" bestFit="1" customWidth="1"/>
    <col min="10" max="10" width="19.5703125" bestFit="1" customWidth="1"/>
    <col min="11" max="11" width="16.140625" bestFit="1" customWidth="1"/>
    <col min="12" max="12" width="18" bestFit="1" customWidth="1"/>
    <col min="13" max="13" width="20.85546875" bestFit="1" customWidth="1"/>
    <col min="14" max="14" width="17.42578125" bestFit="1" customWidth="1"/>
    <col min="15" max="15" width="19.28515625" bestFit="1" customWidth="1"/>
    <col min="16" max="16" width="19.140625" bestFit="1" customWidth="1"/>
    <col min="17" max="17" width="15.85546875" bestFit="1" customWidth="1"/>
    <col min="18" max="18" width="17.7109375" bestFit="1" customWidth="1"/>
    <col min="19" max="19" width="24.28515625" bestFit="1" customWidth="1"/>
    <col min="20" max="20" width="8.85546875" bestFit="1" customWidth="1"/>
  </cols>
  <sheetData>
    <row r="1" spans="1:2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28</v>
      </c>
      <c r="B2">
        <v>128</v>
      </c>
      <c r="C2">
        <v>415</v>
      </c>
      <c r="D2" t="s">
        <v>29</v>
      </c>
      <c r="E2" t="s">
        <v>30</v>
      </c>
      <c r="F2">
        <v>25</v>
      </c>
      <c r="G2">
        <v>265.10000000000002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 x14ac:dyDescent="0.25">
      <c r="A3" t="s">
        <v>31</v>
      </c>
      <c r="B3">
        <v>107</v>
      </c>
      <c r="C3">
        <v>415</v>
      </c>
      <c r="D3" t="s">
        <v>29</v>
      </c>
      <c r="E3" t="s">
        <v>30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 x14ac:dyDescent="0.25">
      <c r="A4" t="s">
        <v>32</v>
      </c>
      <c r="B4">
        <v>137</v>
      </c>
      <c r="C4">
        <v>415</v>
      </c>
      <c r="D4" t="s">
        <v>29</v>
      </c>
      <c r="E4" t="s">
        <v>29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 x14ac:dyDescent="0.25">
      <c r="A5" t="s">
        <v>31</v>
      </c>
      <c r="B5">
        <v>84</v>
      </c>
      <c r="C5">
        <v>408</v>
      </c>
      <c r="D5" t="s">
        <v>30</v>
      </c>
      <c r="E5" t="s">
        <v>29</v>
      </c>
      <c r="F5">
        <v>0</v>
      </c>
      <c r="G5">
        <v>299.39999999999998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 x14ac:dyDescent="0.25">
      <c r="A6" t="s">
        <v>33</v>
      </c>
      <c r="B6">
        <v>75</v>
      </c>
      <c r="C6">
        <v>415</v>
      </c>
      <c r="D6" t="s">
        <v>30</v>
      </c>
      <c r="E6" t="s">
        <v>29</v>
      </c>
      <c r="F6">
        <v>0</v>
      </c>
      <c r="G6">
        <v>166.7</v>
      </c>
      <c r="H6">
        <v>113</v>
      </c>
      <c r="I6">
        <v>28.34</v>
      </c>
      <c r="J6">
        <v>148.30000000000001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 x14ac:dyDescent="0.25">
      <c r="A7" t="s">
        <v>34</v>
      </c>
      <c r="B7">
        <v>118</v>
      </c>
      <c r="C7">
        <v>510</v>
      </c>
      <c r="D7" t="s">
        <v>30</v>
      </c>
      <c r="E7" t="s">
        <v>29</v>
      </c>
      <c r="F7">
        <v>0</v>
      </c>
      <c r="G7">
        <v>223.4</v>
      </c>
      <c r="H7">
        <v>98</v>
      </c>
      <c r="I7">
        <v>37.979999999999997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 x14ac:dyDescent="0.25">
      <c r="A8" t="s">
        <v>35</v>
      </c>
      <c r="B8">
        <v>121</v>
      </c>
      <c r="C8">
        <v>510</v>
      </c>
      <c r="D8" t="s">
        <v>29</v>
      </c>
      <c r="E8" t="s">
        <v>30</v>
      </c>
      <c r="F8">
        <v>24</v>
      </c>
      <c r="G8">
        <v>218.2</v>
      </c>
      <c r="H8">
        <v>88</v>
      </c>
      <c r="I8">
        <v>37.090000000000003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2.0299999999999998</v>
      </c>
      <c r="S8">
        <v>3</v>
      </c>
      <c r="T8" t="b">
        <v>0</v>
      </c>
    </row>
    <row r="9" spans="1:20" x14ac:dyDescent="0.25">
      <c r="A9" t="s">
        <v>36</v>
      </c>
      <c r="B9">
        <v>147</v>
      </c>
      <c r="C9">
        <v>415</v>
      </c>
      <c r="D9" t="s">
        <v>30</v>
      </c>
      <c r="E9" t="s">
        <v>29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9.5299999999999994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 x14ac:dyDescent="0.25">
      <c r="A10" t="s">
        <v>37</v>
      </c>
      <c r="B10">
        <v>141</v>
      </c>
      <c r="C10">
        <v>415</v>
      </c>
      <c r="D10" t="s">
        <v>30</v>
      </c>
      <c r="E10" t="s">
        <v>30</v>
      </c>
      <c r="F10">
        <v>37</v>
      </c>
      <c r="G10">
        <v>258.60000000000002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326.39999999999998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 x14ac:dyDescent="0.25">
      <c r="A11" t="s">
        <v>38</v>
      </c>
      <c r="B11">
        <v>74</v>
      </c>
      <c r="C11">
        <v>415</v>
      </c>
      <c r="D11" t="s">
        <v>29</v>
      </c>
      <c r="E11" t="s">
        <v>29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 x14ac:dyDescent="0.25">
      <c r="A12" t="s">
        <v>39</v>
      </c>
      <c r="B12">
        <v>168</v>
      </c>
      <c r="C12">
        <v>408</v>
      </c>
      <c r="D12" t="s">
        <v>29</v>
      </c>
      <c r="E12" t="s">
        <v>29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 x14ac:dyDescent="0.25">
      <c r="A13" t="s">
        <v>40</v>
      </c>
      <c r="B13">
        <v>95</v>
      </c>
      <c r="C13">
        <v>510</v>
      </c>
      <c r="D13" t="s">
        <v>29</v>
      </c>
      <c r="E13" t="s">
        <v>29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 x14ac:dyDescent="0.25">
      <c r="A14" t="s">
        <v>39</v>
      </c>
      <c r="B14">
        <v>62</v>
      </c>
      <c r="C14">
        <v>415</v>
      </c>
      <c r="D14" t="s">
        <v>29</v>
      </c>
      <c r="E14" t="s">
        <v>29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 x14ac:dyDescent="0.25">
      <c r="A15" t="s">
        <v>41</v>
      </c>
      <c r="B15">
        <v>85</v>
      </c>
      <c r="C15">
        <v>408</v>
      </c>
      <c r="D15" t="s">
        <v>29</v>
      </c>
      <c r="E15" t="s">
        <v>30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 x14ac:dyDescent="0.25">
      <c r="A16" t="s">
        <v>42</v>
      </c>
      <c r="B16">
        <v>93</v>
      </c>
      <c r="C16">
        <v>510</v>
      </c>
      <c r="D16" t="s">
        <v>29</v>
      </c>
      <c r="E16" t="s">
        <v>29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 x14ac:dyDescent="0.25">
      <c r="A17" t="s">
        <v>43</v>
      </c>
      <c r="B17">
        <v>76</v>
      </c>
      <c r="C17">
        <v>510</v>
      </c>
      <c r="D17" t="s">
        <v>29</v>
      </c>
      <c r="E17" t="s">
        <v>30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 x14ac:dyDescent="0.25">
      <c r="A18" t="s">
        <v>44</v>
      </c>
      <c r="B18">
        <v>73</v>
      </c>
      <c r="C18">
        <v>415</v>
      </c>
      <c r="D18" t="s">
        <v>29</v>
      </c>
      <c r="E18" t="s">
        <v>29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 x14ac:dyDescent="0.25">
      <c r="A19" t="s">
        <v>45</v>
      </c>
      <c r="B19">
        <v>147</v>
      </c>
      <c r="C19">
        <v>415</v>
      </c>
      <c r="D19" t="s">
        <v>29</v>
      </c>
      <c r="E19" t="s">
        <v>29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 x14ac:dyDescent="0.25">
      <c r="A20" t="s">
        <v>46</v>
      </c>
      <c r="B20">
        <v>77</v>
      </c>
      <c r="C20">
        <v>408</v>
      </c>
      <c r="D20" t="s">
        <v>29</v>
      </c>
      <c r="E20" t="s">
        <v>29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 x14ac:dyDescent="0.25">
      <c r="A21" t="s">
        <v>47</v>
      </c>
      <c r="B21">
        <v>130</v>
      </c>
      <c r="C21">
        <v>415</v>
      </c>
      <c r="D21" t="s">
        <v>29</v>
      </c>
      <c r="E21" t="s">
        <v>29</v>
      </c>
      <c r="F21">
        <v>0</v>
      </c>
      <c r="G21">
        <v>183</v>
      </c>
      <c r="H21">
        <v>112</v>
      </c>
      <c r="I21">
        <v>31.11</v>
      </c>
      <c r="J21">
        <v>72.900000000000006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 x14ac:dyDescent="0.25">
      <c r="A22" t="s">
        <v>43</v>
      </c>
      <c r="B22">
        <v>132</v>
      </c>
      <c r="C22">
        <v>510</v>
      </c>
      <c r="D22" t="s">
        <v>29</v>
      </c>
      <c r="E22" t="s">
        <v>29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 x14ac:dyDescent="0.25">
      <c r="A23" t="s">
        <v>48</v>
      </c>
      <c r="B23">
        <v>174</v>
      </c>
      <c r="C23">
        <v>415</v>
      </c>
      <c r="D23" t="s">
        <v>29</v>
      </c>
      <c r="E23" t="s">
        <v>29</v>
      </c>
      <c r="F23">
        <v>0</v>
      </c>
      <c r="G23">
        <v>124.3</v>
      </c>
      <c r="H23">
        <v>76</v>
      </c>
      <c r="I23">
        <v>21.13</v>
      </c>
      <c r="J23">
        <v>277.10000000000002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4.1900000000000004</v>
      </c>
      <c r="S23">
        <v>3</v>
      </c>
      <c r="T23" t="b">
        <v>0</v>
      </c>
    </row>
    <row r="24" spans="1:20" x14ac:dyDescent="0.25">
      <c r="A24" t="s">
        <v>49</v>
      </c>
      <c r="B24">
        <v>57</v>
      </c>
      <c r="C24">
        <v>408</v>
      </c>
      <c r="D24" t="s">
        <v>29</v>
      </c>
      <c r="E24" t="s">
        <v>30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16.239999999999998</v>
      </c>
      <c r="M24">
        <v>182.7</v>
      </c>
      <c r="N24">
        <v>115</v>
      </c>
      <c r="O24">
        <v>8.2200000000000006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 x14ac:dyDescent="0.25">
      <c r="A25" t="s">
        <v>40</v>
      </c>
      <c r="B25">
        <v>54</v>
      </c>
      <c r="C25">
        <v>408</v>
      </c>
      <c r="D25" t="s">
        <v>29</v>
      </c>
      <c r="E25" t="s">
        <v>29</v>
      </c>
      <c r="F25">
        <v>0</v>
      </c>
      <c r="G25">
        <v>134.30000000000001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 x14ac:dyDescent="0.25">
      <c r="A26" t="s">
        <v>36</v>
      </c>
      <c r="B26">
        <v>20</v>
      </c>
      <c r="C26">
        <v>415</v>
      </c>
      <c r="D26" t="s">
        <v>29</v>
      </c>
      <c r="E26" t="s">
        <v>29</v>
      </c>
      <c r="F26">
        <v>0</v>
      </c>
      <c r="G26">
        <v>190</v>
      </c>
      <c r="H26">
        <v>109</v>
      </c>
      <c r="I26">
        <v>32.299999999999997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 x14ac:dyDescent="0.25">
      <c r="A27" t="s">
        <v>50</v>
      </c>
      <c r="B27">
        <v>142</v>
      </c>
      <c r="C27">
        <v>415</v>
      </c>
      <c r="D27" t="s">
        <v>29</v>
      </c>
      <c r="E27" t="s">
        <v>29</v>
      </c>
      <c r="F27">
        <v>0</v>
      </c>
      <c r="G27">
        <v>84.8</v>
      </c>
      <c r="H27">
        <v>95</v>
      </c>
      <c r="I27">
        <v>14.42</v>
      </c>
      <c r="J27">
        <v>136.69999999999999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 x14ac:dyDescent="0.25">
      <c r="A28" t="s">
        <v>51</v>
      </c>
      <c r="B28">
        <v>75</v>
      </c>
      <c r="C28">
        <v>510</v>
      </c>
      <c r="D28" t="s">
        <v>29</v>
      </c>
      <c r="E28" t="s">
        <v>29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 x14ac:dyDescent="0.25">
      <c r="A29" t="s">
        <v>52</v>
      </c>
      <c r="B29">
        <v>172</v>
      </c>
      <c r="C29">
        <v>408</v>
      </c>
      <c r="D29" t="s">
        <v>29</v>
      </c>
      <c r="E29" t="s">
        <v>29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 x14ac:dyDescent="0.25">
      <c r="A30" t="s">
        <v>47</v>
      </c>
      <c r="B30">
        <v>12</v>
      </c>
      <c r="C30">
        <v>408</v>
      </c>
      <c r="D30" t="s">
        <v>29</v>
      </c>
      <c r="E30" t="s">
        <v>29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 x14ac:dyDescent="0.25">
      <c r="A31" t="s">
        <v>33</v>
      </c>
      <c r="B31">
        <v>57</v>
      </c>
      <c r="C31">
        <v>408</v>
      </c>
      <c r="D31" t="s">
        <v>29</v>
      </c>
      <c r="E31" t="s">
        <v>30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16.579999999999998</v>
      </c>
      <c r="M31">
        <v>213.5</v>
      </c>
      <c r="N31">
        <v>116</v>
      </c>
      <c r="O31">
        <v>9.61</v>
      </c>
      <c r="P31">
        <v>8.3000000000000007</v>
      </c>
      <c r="Q31">
        <v>4</v>
      </c>
      <c r="R31">
        <v>2.2400000000000002</v>
      </c>
      <c r="S31">
        <v>0</v>
      </c>
      <c r="T31" t="b">
        <v>0</v>
      </c>
    </row>
    <row r="32" spans="1:20" x14ac:dyDescent="0.25">
      <c r="A32" t="s">
        <v>53</v>
      </c>
      <c r="B32">
        <v>72</v>
      </c>
      <c r="C32">
        <v>415</v>
      </c>
      <c r="D32" t="s">
        <v>29</v>
      </c>
      <c r="E32" t="s">
        <v>30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152.80000000000001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 x14ac:dyDescent="0.25">
      <c r="A33" t="s">
        <v>35</v>
      </c>
      <c r="B33">
        <v>78</v>
      </c>
      <c r="C33">
        <v>415</v>
      </c>
      <c r="D33" t="s">
        <v>29</v>
      </c>
      <c r="E33" t="s">
        <v>29</v>
      </c>
      <c r="F33">
        <v>0</v>
      </c>
      <c r="G33">
        <v>130.80000000000001</v>
      </c>
      <c r="H33">
        <v>64</v>
      </c>
      <c r="I33">
        <v>22.24</v>
      </c>
      <c r="J33">
        <v>223.7</v>
      </c>
      <c r="K33">
        <v>116</v>
      </c>
      <c r="L33">
        <v>19.010000000000002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 x14ac:dyDescent="0.25">
      <c r="A34" t="s">
        <v>54</v>
      </c>
      <c r="B34">
        <v>136</v>
      </c>
      <c r="C34">
        <v>415</v>
      </c>
      <c r="D34" t="s">
        <v>30</v>
      </c>
      <c r="E34" t="s">
        <v>30</v>
      </c>
      <c r="F34">
        <v>33</v>
      </c>
      <c r="G34">
        <v>203.9</v>
      </c>
      <c r="H34">
        <v>106</v>
      </c>
      <c r="I34">
        <v>34.659999999999997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 x14ac:dyDescent="0.25">
      <c r="A35" t="s">
        <v>32</v>
      </c>
      <c r="B35">
        <v>149</v>
      </c>
      <c r="C35">
        <v>408</v>
      </c>
      <c r="D35" t="s">
        <v>29</v>
      </c>
      <c r="E35" t="s">
        <v>29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8.4700000000000006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 x14ac:dyDescent="0.25">
      <c r="A36" t="s">
        <v>53</v>
      </c>
      <c r="B36">
        <v>98</v>
      </c>
      <c r="C36">
        <v>408</v>
      </c>
      <c r="D36" t="s">
        <v>29</v>
      </c>
      <c r="E36" t="s">
        <v>29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8.4499999999999993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 x14ac:dyDescent="0.25">
      <c r="A37" t="s">
        <v>55</v>
      </c>
      <c r="B37">
        <v>135</v>
      </c>
      <c r="C37">
        <v>408</v>
      </c>
      <c r="D37" t="s">
        <v>30</v>
      </c>
      <c r="E37" t="s">
        <v>30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17.329999999999998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 x14ac:dyDescent="0.25">
      <c r="A38" t="s">
        <v>56</v>
      </c>
      <c r="B38">
        <v>34</v>
      </c>
      <c r="C38">
        <v>510</v>
      </c>
      <c r="D38" t="s">
        <v>29</v>
      </c>
      <c r="E38" t="s">
        <v>29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 x14ac:dyDescent="0.25">
      <c r="A39" t="s">
        <v>41</v>
      </c>
      <c r="B39">
        <v>160</v>
      </c>
      <c r="C39">
        <v>415</v>
      </c>
      <c r="D39" t="s">
        <v>29</v>
      </c>
      <c r="E39" t="s">
        <v>29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8.0299999999999994</v>
      </c>
      <c r="P39">
        <v>9.1999999999999993</v>
      </c>
      <c r="Q39">
        <v>4</v>
      </c>
      <c r="R39">
        <v>2.48</v>
      </c>
      <c r="S39">
        <v>3</v>
      </c>
      <c r="T39" t="b">
        <v>0</v>
      </c>
    </row>
    <row r="40" spans="1:20" x14ac:dyDescent="0.25">
      <c r="A40" t="s">
        <v>57</v>
      </c>
      <c r="B40">
        <v>64</v>
      </c>
      <c r="C40">
        <v>510</v>
      </c>
      <c r="D40" t="s">
        <v>29</v>
      </c>
      <c r="E40" t="s">
        <v>29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19.190000000000001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 x14ac:dyDescent="0.25">
      <c r="A41" t="s">
        <v>58</v>
      </c>
      <c r="B41">
        <v>59</v>
      </c>
      <c r="C41">
        <v>408</v>
      </c>
      <c r="D41" t="s">
        <v>29</v>
      </c>
      <c r="E41" t="s">
        <v>30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2.2999999999999998</v>
      </c>
      <c r="S41">
        <v>2</v>
      </c>
      <c r="T41" t="b">
        <v>0</v>
      </c>
    </row>
    <row r="42" spans="1:20" x14ac:dyDescent="0.25">
      <c r="A42" t="s">
        <v>59</v>
      </c>
      <c r="B42">
        <v>142</v>
      </c>
      <c r="C42">
        <v>408</v>
      </c>
      <c r="D42" t="s">
        <v>29</v>
      </c>
      <c r="E42" t="s">
        <v>29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 x14ac:dyDescent="0.25">
      <c r="A43" t="s">
        <v>49</v>
      </c>
      <c r="B43">
        <v>97</v>
      </c>
      <c r="C43">
        <v>415</v>
      </c>
      <c r="D43" t="s">
        <v>29</v>
      </c>
      <c r="E43" t="s">
        <v>30</v>
      </c>
      <c r="F43">
        <v>24</v>
      </c>
      <c r="G43">
        <v>133.19999999999999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70.599999999999994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 x14ac:dyDescent="0.25">
      <c r="A44" t="s">
        <v>39</v>
      </c>
      <c r="B44">
        <v>52</v>
      </c>
      <c r="C44">
        <v>408</v>
      </c>
      <c r="D44" t="s">
        <v>29</v>
      </c>
      <c r="E44" t="s">
        <v>29</v>
      </c>
      <c r="F44">
        <v>0</v>
      </c>
      <c r="G44">
        <v>191.9</v>
      </c>
      <c r="H44">
        <v>108</v>
      </c>
      <c r="I44">
        <v>32.619999999999997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 x14ac:dyDescent="0.25">
      <c r="A45" t="s">
        <v>60</v>
      </c>
      <c r="B45">
        <v>60</v>
      </c>
      <c r="C45">
        <v>408</v>
      </c>
      <c r="D45" t="s">
        <v>29</v>
      </c>
      <c r="E45" t="s">
        <v>29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17.940000000000001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 x14ac:dyDescent="0.25">
      <c r="A46" t="s">
        <v>61</v>
      </c>
      <c r="B46">
        <v>96</v>
      </c>
      <c r="C46">
        <v>415</v>
      </c>
      <c r="D46" t="s">
        <v>29</v>
      </c>
      <c r="E46" t="s">
        <v>29</v>
      </c>
      <c r="F46">
        <v>0</v>
      </c>
      <c r="G46">
        <v>160.19999999999999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9.3000000000000007</v>
      </c>
      <c r="Q46">
        <v>5</v>
      </c>
      <c r="R46">
        <v>2.5099999999999998</v>
      </c>
      <c r="S46">
        <v>2</v>
      </c>
      <c r="T46" t="b">
        <v>0</v>
      </c>
    </row>
    <row r="47" spans="1:20" x14ac:dyDescent="0.25">
      <c r="A47" t="s">
        <v>49</v>
      </c>
      <c r="B47">
        <v>87</v>
      </c>
      <c r="C47">
        <v>415</v>
      </c>
      <c r="D47" t="s">
        <v>29</v>
      </c>
      <c r="E47" t="s">
        <v>29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18.670000000000002</v>
      </c>
      <c r="M47">
        <v>203.9</v>
      </c>
      <c r="N47">
        <v>127</v>
      </c>
      <c r="O47">
        <v>9.18</v>
      </c>
      <c r="P47">
        <v>9.6999999999999993</v>
      </c>
      <c r="Q47">
        <v>3</v>
      </c>
      <c r="R47">
        <v>2.62</v>
      </c>
      <c r="S47">
        <v>5</v>
      </c>
      <c r="T47" t="b">
        <v>1</v>
      </c>
    </row>
    <row r="48" spans="1:20" x14ac:dyDescent="0.25">
      <c r="A48" t="s">
        <v>60</v>
      </c>
      <c r="B48">
        <v>81</v>
      </c>
      <c r="C48">
        <v>408</v>
      </c>
      <c r="D48" t="s">
        <v>29</v>
      </c>
      <c r="E48" t="s">
        <v>29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10.199999999999999</v>
      </c>
      <c r="Q48">
        <v>3</v>
      </c>
      <c r="R48">
        <v>2.75</v>
      </c>
      <c r="S48">
        <v>1</v>
      </c>
      <c r="T48" t="b">
        <v>0</v>
      </c>
    </row>
    <row r="49" spans="1:20" x14ac:dyDescent="0.25">
      <c r="A49" t="s">
        <v>46</v>
      </c>
      <c r="B49">
        <v>141</v>
      </c>
      <c r="C49">
        <v>415</v>
      </c>
      <c r="D49" t="s">
        <v>29</v>
      </c>
      <c r="E49" t="s">
        <v>29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140.80000000000001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 x14ac:dyDescent="0.25">
      <c r="A50" t="s">
        <v>46</v>
      </c>
      <c r="B50">
        <v>121</v>
      </c>
      <c r="C50">
        <v>408</v>
      </c>
      <c r="D50" t="s">
        <v>29</v>
      </c>
      <c r="E50" t="s">
        <v>30</v>
      </c>
      <c r="F50">
        <v>30</v>
      </c>
      <c r="G50">
        <v>198.4</v>
      </c>
      <c r="H50">
        <v>129</v>
      </c>
      <c r="I50">
        <v>33.729999999999997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 x14ac:dyDescent="0.25">
      <c r="A51" t="s">
        <v>33</v>
      </c>
      <c r="B51">
        <v>125</v>
      </c>
      <c r="C51">
        <v>408</v>
      </c>
      <c r="D51" t="s">
        <v>29</v>
      </c>
      <c r="E51" t="s">
        <v>29</v>
      </c>
      <c r="F51">
        <v>0</v>
      </c>
      <c r="G51">
        <v>229.3</v>
      </c>
      <c r="H51">
        <v>103</v>
      </c>
      <c r="I51">
        <v>38.979999999999997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 x14ac:dyDescent="0.25">
      <c r="A52" t="s">
        <v>41</v>
      </c>
      <c r="B52">
        <v>174</v>
      </c>
      <c r="C52">
        <v>408</v>
      </c>
      <c r="D52" t="s">
        <v>29</v>
      </c>
      <c r="E52" t="s">
        <v>29</v>
      </c>
      <c r="F52">
        <v>0</v>
      </c>
      <c r="G52">
        <v>192.1</v>
      </c>
      <c r="H52">
        <v>97</v>
      </c>
      <c r="I52">
        <v>32.659999999999997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 x14ac:dyDescent="0.25">
      <c r="A53" t="s">
        <v>62</v>
      </c>
      <c r="B53">
        <v>116</v>
      </c>
      <c r="C53">
        <v>415</v>
      </c>
      <c r="D53" t="s">
        <v>29</v>
      </c>
      <c r="E53" t="s">
        <v>30</v>
      </c>
      <c r="F53">
        <v>34</v>
      </c>
      <c r="G53">
        <v>268.60000000000002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 x14ac:dyDescent="0.25">
      <c r="A54" t="s">
        <v>63</v>
      </c>
      <c r="B54">
        <v>149</v>
      </c>
      <c r="C54">
        <v>408</v>
      </c>
      <c r="D54" t="s">
        <v>29</v>
      </c>
      <c r="E54" t="s">
        <v>30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 x14ac:dyDescent="0.25">
      <c r="A55" t="s">
        <v>64</v>
      </c>
      <c r="B55">
        <v>38</v>
      </c>
      <c r="C55">
        <v>408</v>
      </c>
      <c r="D55" t="s">
        <v>29</v>
      </c>
      <c r="E55" t="s">
        <v>29</v>
      </c>
      <c r="F55">
        <v>0</v>
      </c>
      <c r="G55">
        <v>131.19999999999999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8.1999999999999993</v>
      </c>
      <c r="Q55">
        <v>6</v>
      </c>
      <c r="R55">
        <v>2.21</v>
      </c>
      <c r="S55">
        <v>2</v>
      </c>
      <c r="T55" t="b">
        <v>0</v>
      </c>
    </row>
    <row r="56" spans="1:20" x14ac:dyDescent="0.25">
      <c r="A56" t="s">
        <v>65</v>
      </c>
      <c r="B56">
        <v>40</v>
      </c>
      <c r="C56">
        <v>415</v>
      </c>
      <c r="D56" t="s">
        <v>29</v>
      </c>
      <c r="E56" t="s">
        <v>30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9.6300000000000008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 x14ac:dyDescent="0.25">
      <c r="A57" t="s">
        <v>49</v>
      </c>
      <c r="B57">
        <v>43</v>
      </c>
      <c r="C57">
        <v>415</v>
      </c>
      <c r="D57" t="s">
        <v>30</v>
      </c>
      <c r="E57" t="s">
        <v>29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157.80000000000001</v>
      </c>
      <c r="N57">
        <v>67</v>
      </c>
      <c r="O57">
        <v>7.1</v>
      </c>
      <c r="P57">
        <v>9.3000000000000007</v>
      </c>
      <c r="Q57">
        <v>4</v>
      </c>
      <c r="R57">
        <v>2.5099999999999998</v>
      </c>
      <c r="S57">
        <v>0</v>
      </c>
      <c r="T57" t="b">
        <v>0</v>
      </c>
    </row>
    <row r="58" spans="1:20" x14ac:dyDescent="0.25">
      <c r="A58" t="s">
        <v>66</v>
      </c>
      <c r="B58">
        <v>113</v>
      </c>
      <c r="C58">
        <v>408</v>
      </c>
      <c r="D58" t="s">
        <v>30</v>
      </c>
      <c r="E58" t="s">
        <v>29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129.30000000000001</v>
      </c>
      <c r="N58">
        <v>139</v>
      </c>
      <c r="O58">
        <v>5.82</v>
      </c>
      <c r="P58">
        <v>8.3000000000000007</v>
      </c>
      <c r="Q58">
        <v>8</v>
      </c>
      <c r="R58">
        <v>2.2400000000000002</v>
      </c>
      <c r="S58">
        <v>0</v>
      </c>
      <c r="T58" t="b">
        <v>0</v>
      </c>
    </row>
    <row r="59" spans="1:20" x14ac:dyDescent="0.25">
      <c r="A59" t="s">
        <v>61</v>
      </c>
      <c r="B59">
        <v>126</v>
      </c>
      <c r="C59">
        <v>408</v>
      </c>
      <c r="D59" t="s">
        <v>29</v>
      </c>
      <c r="E59" t="s">
        <v>29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18.440000000000001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 x14ac:dyDescent="0.25">
      <c r="A60" t="s">
        <v>44</v>
      </c>
      <c r="B60">
        <v>150</v>
      </c>
      <c r="C60">
        <v>510</v>
      </c>
      <c r="D60" t="s">
        <v>29</v>
      </c>
      <c r="E60" t="s">
        <v>29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 x14ac:dyDescent="0.25">
      <c r="A61" t="s">
        <v>32</v>
      </c>
      <c r="B61">
        <v>138</v>
      </c>
      <c r="C61">
        <v>408</v>
      </c>
      <c r="D61" t="s">
        <v>29</v>
      </c>
      <c r="E61" t="s">
        <v>29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 x14ac:dyDescent="0.25">
      <c r="A62" t="s">
        <v>66</v>
      </c>
      <c r="B62">
        <v>162</v>
      </c>
      <c r="C62">
        <v>510</v>
      </c>
      <c r="D62" t="s">
        <v>29</v>
      </c>
      <c r="E62" t="s">
        <v>30</v>
      </c>
      <c r="F62">
        <v>46</v>
      </c>
      <c r="G62">
        <v>224.9</v>
      </c>
      <c r="H62">
        <v>97</v>
      </c>
      <c r="I62">
        <v>38.229999999999997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 x14ac:dyDescent="0.25">
      <c r="A63" t="s">
        <v>67</v>
      </c>
      <c r="B63">
        <v>147</v>
      </c>
      <c r="C63">
        <v>510</v>
      </c>
      <c r="D63" t="s">
        <v>29</v>
      </c>
      <c r="E63" t="s">
        <v>29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 x14ac:dyDescent="0.25">
      <c r="A64" t="s">
        <v>68</v>
      </c>
      <c r="B64">
        <v>90</v>
      </c>
      <c r="C64">
        <v>415</v>
      </c>
      <c r="D64" t="s">
        <v>29</v>
      </c>
      <c r="E64" t="s">
        <v>29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 x14ac:dyDescent="0.25">
      <c r="A65" t="s">
        <v>66</v>
      </c>
      <c r="B65">
        <v>50</v>
      </c>
      <c r="C65">
        <v>415</v>
      </c>
      <c r="D65" t="s">
        <v>29</v>
      </c>
      <c r="E65" t="s">
        <v>29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 x14ac:dyDescent="0.25">
      <c r="A66" t="s">
        <v>69</v>
      </c>
      <c r="B66">
        <v>82</v>
      </c>
      <c r="C66">
        <v>415</v>
      </c>
      <c r="D66" t="s">
        <v>29</v>
      </c>
      <c r="E66" t="s">
        <v>29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270.10000000000002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 x14ac:dyDescent="0.25">
      <c r="A67" t="s">
        <v>70</v>
      </c>
      <c r="B67">
        <v>144</v>
      </c>
      <c r="C67">
        <v>408</v>
      </c>
      <c r="D67" t="s">
        <v>29</v>
      </c>
      <c r="E67" t="s">
        <v>29</v>
      </c>
      <c r="F67">
        <v>0</v>
      </c>
      <c r="G67">
        <v>61.6</v>
      </c>
      <c r="H67">
        <v>117</v>
      </c>
      <c r="I67">
        <v>10.47</v>
      </c>
      <c r="J67">
        <v>77.099999999999994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8.1999999999999993</v>
      </c>
      <c r="Q67">
        <v>7</v>
      </c>
      <c r="R67">
        <v>2.21</v>
      </c>
      <c r="S67">
        <v>4</v>
      </c>
      <c r="T67" t="b">
        <v>1</v>
      </c>
    </row>
    <row r="68" spans="1:20" x14ac:dyDescent="0.25">
      <c r="A68" t="s">
        <v>55</v>
      </c>
      <c r="B68">
        <v>70</v>
      </c>
      <c r="C68">
        <v>408</v>
      </c>
      <c r="D68" t="s">
        <v>29</v>
      </c>
      <c r="E68" t="s">
        <v>29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 x14ac:dyDescent="0.25">
      <c r="A69" t="s">
        <v>37</v>
      </c>
      <c r="B69">
        <v>144</v>
      </c>
      <c r="C69">
        <v>415</v>
      </c>
      <c r="D69" t="s">
        <v>29</v>
      </c>
      <c r="E69" t="s">
        <v>29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 x14ac:dyDescent="0.25">
      <c r="A70" t="s">
        <v>58</v>
      </c>
      <c r="B70">
        <v>116</v>
      </c>
      <c r="C70">
        <v>415</v>
      </c>
      <c r="D70" t="s">
        <v>30</v>
      </c>
      <c r="E70" t="s">
        <v>29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 x14ac:dyDescent="0.25">
      <c r="A71" t="s">
        <v>46</v>
      </c>
      <c r="B71">
        <v>55</v>
      </c>
      <c r="C71">
        <v>408</v>
      </c>
      <c r="D71" t="s">
        <v>29</v>
      </c>
      <c r="E71" t="s">
        <v>30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 x14ac:dyDescent="0.25">
      <c r="A72" t="s">
        <v>53</v>
      </c>
      <c r="B72">
        <v>70</v>
      </c>
      <c r="C72">
        <v>415</v>
      </c>
      <c r="D72" t="s">
        <v>29</v>
      </c>
      <c r="E72" t="s">
        <v>30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9.8000000000000007</v>
      </c>
      <c r="Q72">
        <v>4</v>
      </c>
      <c r="R72">
        <v>2.65</v>
      </c>
      <c r="S72">
        <v>1</v>
      </c>
      <c r="T72" t="b">
        <v>0</v>
      </c>
    </row>
    <row r="73" spans="1:20" x14ac:dyDescent="0.25">
      <c r="A73" t="s">
        <v>44</v>
      </c>
      <c r="B73">
        <v>106</v>
      </c>
      <c r="C73">
        <v>510</v>
      </c>
      <c r="D73" t="s">
        <v>29</v>
      </c>
      <c r="E73" t="s">
        <v>29</v>
      </c>
      <c r="F73">
        <v>0</v>
      </c>
      <c r="G73">
        <v>210.6</v>
      </c>
      <c r="H73">
        <v>96</v>
      </c>
      <c r="I73">
        <v>35.799999999999997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 x14ac:dyDescent="0.25">
      <c r="A74" t="s">
        <v>60</v>
      </c>
      <c r="B74">
        <v>94</v>
      </c>
      <c r="C74">
        <v>408</v>
      </c>
      <c r="D74" t="s">
        <v>29</v>
      </c>
      <c r="E74" t="s">
        <v>29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8.5299999999999994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 x14ac:dyDescent="0.25">
      <c r="A75" t="s">
        <v>37</v>
      </c>
      <c r="B75">
        <v>111</v>
      </c>
      <c r="C75">
        <v>510</v>
      </c>
      <c r="D75" t="s">
        <v>29</v>
      </c>
      <c r="E75" t="s">
        <v>29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8.2100000000000009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 x14ac:dyDescent="0.25">
      <c r="A76" t="s">
        <v>71</v>
      </c>
      <c r="B76">
        <v>74</v>
      </c>
      <c r="C76">
        <v>415</v>
      </c>
      <c r="D76" t="s">
        <v>29</v>
      </c>
      <c r="E76" t="s">
        <v>30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 x14ac:dyDescent="0.25">
      <c r="A77" t="s">
        <v>32</v>
      </c>
      <c r="B77">
        <v>128</v>
      </c>
      <c r="C77">
        <v>415</v>
      </c>
      <c r="D77" t="s">
        <v>29</v>
      </c>
      <c r="E77" t="s">
        <v>29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 x14ac:dyDescent="0.25">
      <c r="A78" t="s">
        <v>69</v>
      </c>
      <c r="B78">
        <v>82</v>
      </c>
      <c r="C78">
        <v>510</v>
      </c>
      <c r="D78" t="s">
        <v>29</v>
      </c>
      <c r="E78" t="s">
        <v>29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 x14ac:dyDescent="0.25">
      <c r="A79" t="s">
        <v>56</v>
      </c>
      <c r="B79">
        <v>80</v>
      </c>
      <c r="C79">
        <v>415</v>
      </c>
      <c r="D79" t="s">
        <v>29</v>
      </c>
      <c r="E79" t="s">
        <v>29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 x14ac:dyDescent="0.25">
      <c r="A80" t="s">
        <v>72</v>
      </c>
      <c r="B80">
        <v>78</v>
      </c>
      <c r="C80">
        <v>415</v>
      </c>
      <c r="D80" t="s">
        <v>29</v>
      </c>
      <c r="E80" t="s">
        <v>29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 x14ac:dyDescent="0.25">
      <c r="A81" t="s">
        <v>47</v>
      </c>
      <c r="B81">
        <v>90</v>
      </c>
      <c r="C81">
        <v>415</v>
      </c>
      <c r="D81" t="s">
        <v>29</v>
      </c>
      <c r="E81" t="s">
        <v>29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 x14ac:dyDescent="0.25">
      <c r="A82" t="s">
        <v>54</v>
      </c>
      <c r="B82">
        <v>104</v>
      </c>
      <c r="C82">
        <v>408</v>
      </c>
      <c r="D82" t="s">
        <v>29</v>
      </c>
      <c r="E82" t="s">
        <v>29</v>
      </c>
      <c r="F82">
        <v>0</v>
      </c>
      <c r="G82">
        <v>278.39999999999998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163.19999999999999</v>
      </c>
      <c r="N82">
        <v>137</v>
      </c>
      <c r="O82">
        <v>7.34</v>
      </c>
      <c r="P82">
        <v>9.8000000000000007</v>
      </c>
      <c r="Q82">
        <v>5</v>
      </c>
      <c r="R82">
        <v>2.65</v>
      </c>
      <c r="S82">
        <v>1</v>
      </c>
      <c r="T82" t="b">
        <v>0</v>
      </c>
    </row>
    <row r="83" spans="1:20" x14ac:dyDescent="0.25">
      <c r="A83" t="s">
        <v>47</v>
      </c>
      <c r="B83">
        <v>99</v>
      </c>
      <c r="C83">
        <v>415</v>
      </c>
      <c r="D83" t="s">
        <v>29</v>
      </c>
      <c r="E83" t="s">
        <v>29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b">
        <v>0</v>
      </c>
    </row>
    <row r="84" spans="1:20" x14ac:dyDescent="0.25">
      <c r="A84" t="s">
        <v>73</v>
      </c>
      <c r="B84">
        <v>120</v>
      </c>
      <c r="C84">
        <v>408</v>
      </c>
      <c r="D84" t="s">
        <v>29</v>
      </c>
      <c r="E84" t="s">
        <v>29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 x14ac:dyDescent="0.25">
      <c r="A85" t="s">
        <v>39</v>
      </c>
      <c r="B85">
        <v>98</v>
      </c>
      <c r="C85">
        <v>510</v>
      </c>
      <c r="D85" t="s">
        <v>29</v>
      </c>
      <c r="E85" t="s">
        <v>30</v>
      </c>
      <c r="F85">
        <v>21</v>
      </c>
      <c r="G85">
        <v>161.19999999999999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160.19999999999999</v>
      </c>
      <c r="N85">
        <v>92</v>
      </c>
      <c r="O85">
        <v>7.21</v>
      </c>
      <c r="P85">
        <v>4.4000000000000004</v>
      </c>
      <c r="Q85">
        <v>8</v>
      </c>
      <c r="R85">
        <v>1.19</v>
      </c>
      <c r="S85">
        <v>4</v>
      </c>
      <c r="T85" t="b">
        <v>0</v>
      </c>
    </row>
    <row r="86" spans="1:20" x14ac:dyDescent="0.25">
      <c r="A86" t="s">
        <v>42</v>
      </c>
      <c r="B86">
        <v>135</v>
      </c>
      <c r="C86">
        <v>415</v>
      </c>
      <c r="D86" t="s">
        <v>29</v>
      </c>
      <c r="E86" t="s">
        <v>29</v>
      </c>
      <c r="F86">
        <v>0</v>
      </c>
      <c r="G86">
        <v>151.69999999999999</v>
      </c>
      <c r="H86">
        <v>82</v>
      </c>
      <c r="I86">
        <v>25.79</v>
      </c>
      <c r="J86">
        <v>119</v>
      </c>
      <c r="K86">
        <v>105</v>
      </c>
      <c r="L86">
        <v>10.119999999999999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 x14ac:dyDescent="0.25">
      <c r="A87" t="s">
        <v>60</v>
      </c>
      <c r="B87">
        <v>122</v>
      </c>
      <c r="C87">
        <v>408</v>
      </c>
      <c r="D87" t="s">
        <v>29</v>
      </c>
      <c r="E87" t="s">
        <v>29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 x14ac:dyDescent="0.25">
      <c r="A88" t="s">
        <v>47</v>
      </c>
      <c r="B88">
        <v>95</v>
      </c>
      <c r="C88">
        <v>408</v>
      </c>
      <c r="D88" t="s">
        <v>29</v>
      </c>
      <c r="E88" t="s">
        <v>29</v>
      </c>
      <c r="F88">
        <v>0</v>
      </c>
      <c r="G88">
        <v>238.1</v>
      </c>
      <c r="H88">
        <v>65</v>
      </c>
      <c r="I88">
        <v>40.479999999999997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8.5500000000000007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 x14ac:dyDescent="0.25">
      <c r="A89" t="s">
        <v>67</v>
      </c>
      <c r="B89">
        <v>93</v>
      </c>
      <c r="C89">
        <v>510</v>
      </c>
      <c r="D89" t="s">
        <v>29</v>
      </c>
      <c r="E89" t="s">
        <v>30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9.8000000000000007</v>
      </c>
      <c r="Q89">
        <v>3</v>
      </c>
      <c r="R89">
        <v>2.65</v>
      </c>
      <c r="S89">
        <v>1</v>
      </c>
      <c r="T89" t="b">
        <v>0</v>
      </c>
    </row>
    <row r="90" spans="1:20" x14ac:dyDescent="0.25">
      <c r="A90" t="s">
        <v>61</v>
      </c>
      <c r="B90">
        <v>157</v>
      </c>
      <c r="C90">
        <v>408</v>
      </c>
      <c r="D90" t="s">
        <v>29</v>
      </c>
      <c r="E90" t="s">
        <v>29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 x14ac:dyDescent="0.25">
      <c r="A91" t="s">
        <v>74</v>
      </c>
      <c r="B91">
        <v>120</v>
      </c>
      <c r="C91">
        <v>408</v>
      </c>
      <c r="D91" t="s">
        <v>29</v>
      </c>
      <c r="E91" t="s">
        <v>29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8.3000000000000007</v>
      </c>
      <c r="Q91">
        <v>8</v>
      </c>
      <c r="R91">
        <v>2.2400000000000002</v>
      </c>
      <c r="S91">
        <v>1</v>
      </c>
      <c r="T91" t="b">
        <v>0</v>
      </c>
    </row>
    <row r="92" spans="1:20" x14ac:dyDescent="0.25">
      <c r="A92" t="s">
        <v>35</v>
      </c>
      <c r="B92">
        <v>103</v>
      </c>
      <c r="C92">
        <v>415</v>
      </c>
      <c r="D92" t="s">
        <v>29</v>
      </c>
      <c r="E92" t="s">
        <v>29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10.029999999999999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 x14ac:dyDescent="0.25">
      <c r="A93" t="s">
        <v>34</v>
      </c>
      <c r="B93">
        <v>98</v>
      </c>
      <c r="C93">
        <v>408</v>
      </c>
      <c r="D93" t="s">
        <v>29</v>
      </c>
      <c r="E93" t="s">
        <v>29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 x14ac:dyDescent="0.25">
      <c r="A94" t="s">
        <v>59</v>
      </c>
      <c r="B94">
        <v>125</v>
      </c>
      <c r="C94">
        <v>408</v>
      </c>
      <c r="D94" t="s">
        <v>29</v>
      </c>
      <c r="E94" t="s">
        <v>29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17.510000000000002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 x14ac:dyDescent="0.25">
      <c r="A95" t="s">
        <v>72</v>
      </c>
      <c r="B95">
        <v>36</v>
      </c>
      <c r="C95">
        <v>510</v>
      </c>
      <c r="D95" t="s">
        <v>30</v>
      </c>
      <c r="E95" t="s">
        <v>30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138.30000000000001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 x14ac:dyDescent="0.25">
      <c r="A96" t="s">
        <v>32</v>
      </c>
      <c r="B96">
        <v>64</v>
      </c>
      <c r="C96">
        <v>510</v>
      </c>
      <c r="D96" t="s">
        <v>29</v>
      </c>
      <c r="E96" t="s">
        <v>29</v>
      </c>
      <c r="F96">
        <v>0</v>
      </c>
      <c r="G96">
        <v>162.6</v>
      </c>
      <c r="H96">
        <v>83</v>
      </c>
      <c r="I96">
        <v>27.64</v>
      </c>
      <c r="J96">
        <v>152.30000000000001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 x14ac:dyDescent="0.25">
      <c r="A97" t="s">
        <v>68</v>
      </c>
      <c r="B97">
        <v>74</v>
      </c>
      <c r="C97">
        <v>415</v>
      </c>
      <c r="D97" t="s">
        <v>29</v>
      </c>
      <c r="E97" t="s">
        <v>29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18.690000000000001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 x14ac:dyDescent="0.25">
      <c r="A98" t="s">
        <v>36</v>
      </c>
      <c r="B98">
        <v>112</v>
      </c>
      <c r="C98">
        <v>510</v>
      </c>
      <c r="D98" t="s">
        <v>29</v>
      </c>
      <c r="E98" t="s">
        <v>30</v>
      </c>
      <c r="F98">
        <v>36</v>
      </c>
      <c r="G98">
        <v>113.7</v>
      </c>
      <c r="H98">
        <v>117</v>
      </c>
      <c r="I98">
        <v>19.329999999999998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 x14ac:dyDescent="0.25">
      <c r="A99" t="s">
        <v>48</v>
      </c>
      <c r="B99">
        <v>46</v>
      </c>
      <c r="C99">
        <v>408</v>
      </c>
      <c r="D99" t="s">
        <v>29</v>
      </c>
      <c r="E99" t="s">
        <v>29</v>
      </c>
      <c r="F99">
        <v>0</v>
      </c>
      <c r="G99">
        <v>210.2</v>
      </c>
      <c r="H99">
        <v>92</v>
      </c>
      <c r="I99">
        <v>35.729999999999997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 x14ac:dyDescent="0.25">
      <c r="A100" t="s">
        <v>44</v>
      </c>
      <c r="B100">
        <v>41</v>
      </c>
      <c r="C100">
        <v>408</v>
      </c>
      <c r="D100" t="s">
        <v>29</v>
      </c>
      <c r="E100" t="s">
        <v>30</v>
      </c>
      <c r="F100">
        <v>22</v>
      </c>
      <c r="G100">
        <v>213.8</v>
      </c>
      <c r="H100">
        <v>102</v>
      </c>
      <c r="I100">
        <v>36.35</v>
      </c>
      <c r="J100">
        <v>141.80000000000001</v>
      </c>
      <c r="K100">
        <v>86</v>
      </c>
      <c r="L100">
        <v>12.05</v>
      </c>
      <c r="M100">
        <v>142.19999999999999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 x14ac:dyDescent="0.25">
      <c r="A101" t="s">
        <v>55</v>
      </c>
      <c r="B101">
        <v>121</v>
      </c>
      <c r="C101">
        <v>510</v>
      </c>
      <c r="D101" t="s">
        <v>29</v>
      </c>
      <c r="E101" t="s">
        <v>29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9.8000000000000007</v>
      </c>
      <c r="Q101">
        <v>4</v>
      </c>
      <c r="R101">
        <v>2.65</v>
      </c>
      <c r="S101">
        <v>3</v>
      </c>
      <c r="T101" t="b">
        <v>0</v>
      </c>
    </row>
    <row r="102" spans="1:20" x14ac:dyDescent="0.25">
      <c r="A102" t="s">
        <v>73</v>
      </c>
      <c r="B102">
        <v>193</v>
      </c>
      <c r="C102">
        <v>415</v>
      </c>
      <c r="D102" t="s">
        <v>29</v>
      </c>
      <c r="E102" t="s">
        <v>29</v>
      </c>
      <c r="F102">
        <v>0</v>
      </c>
      <c r="G102">
        <v>170.9</v>
      </c>
      <c r="H102">
        <v>124</v>
      </c>
      <c r="I102">
        <v>29.05</v>
      </c>
      <c r="J102">
        <v>132.30000000000001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 x14ac:dyDescent="0.25">
      <c r="A103" t="s">
        <v>68</v>
      </c>
      <c r="B103">
        <v>130</v>
      </c>
      <c r="C103">
        <v>510</v>
      </c>
      <c r="D103" t="s">
        <v>29</v>
      </c>
      <c r="E103" t="s">
        <v>29</v>
      </c>
      <c r="F103">
        <v>0</v>
      </c>
      <c r="G103">
        <v>154.19999999999999</v>
      </c>
      <c r="H103">
        <v>119</v>
      </c>
      <c r="I103">
        <v>26.21</v>
      </c>
      <c r="J103">
        <v>110.2</v>
      </c>
      <c r="K103">
        <v>98</v>
      </c>
      <c r="L103">
        <v>9.3699999999999992</v>
      </c>
      <c r="M103">
        <v>227.4</v>
      </c>
      <c r="N103">
        <v>117</v>
      </c>
      <c r="O103">
        <v>10.23</v>
      </c>
      <c r="P103">
        <v>9.1999999999999993</v>
      </c>
      <c r="Q103">
        <v>5</v>
      </c>
      <c r="R103">
        <v>2.48</v>
      </c>
      <c r="S103">
        <v>2</v>
      </c>
      <c r="T103" t="b">
        <v>0</v>
      </c>
    </row>
    <row r="104" spans="1:20" x14ac:dyDescent="0.25">
      <c r="A104" t="s">
        <v>47</v>
      </c>
      <c r="B104">
        <v>85</v>
      </c>
      <c r="C104">
        <v>408</v>
      </c>
      <c r="D104" t="s">
        <v>29</v>
      </c>
      <c r="E104" t="s">
        <v>29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 x14ac:dyDescent="0.25">
      <c r="A105" t="s">
        <v>73</v>
      </c>
      <c r="B105">
        <v>162</v>
      </c>
      <c r="C105">
        <v>415</v>
      </c>
      <c r="D105" t="s">
        <v>29</v>
      </c>
      <c r="E105" t="s">
        <v>29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154.80000000000001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 x14ac:dyDescent="0.25">
      <c r="A106" t="s">
        <v>73</v>
      </c>
      <c r="B106">
        <v>61</v>
      </c>
      <c r="C106">
        <v>510</v>
      </c>
      <c r="D106" t="s">
        <v>29</v>
      </c>
      <c r="E106" t="s">
        <v>30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 x14ac:dyDescent="0.25">
      <c r="A107" t="s">
        <v>44</v>
      </c>
      <c r="B107">
        <v>92</v>
      </c>
      <c r="C107">
        <v>408</v>
      </c>
      <c r="D107" t="s">
        <v>29</v>
      </c>
      <c r="E107" t="s">
        <v>29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9.1999999999999993</v>
      </c>
      <c r="Q107">
        <v>4</v>
      </c>
      <c r="R107">
        <v>2.48</v>
      </c>
      <c r="S107">
        <v>2</v>
      </c>
      <c r="T107" t="b">
        <v>0</v>
      </c>
    </row>
    <row r="108" spans="1:20" x14ac:dyDescent="0.25">
      <c r="A108" t="s">
        <v>48</v>
      </c>
      <c r="B108">
        <v>131</v>
      </c>
      <c r="C108">
        <v>408</v>
      </c>
      <c r="D108" t="s">
        <v>29</v>
      </c>
      <c r="E108" t="s">
        <v>30</v>
      </c>
      <c r="F108">
        <v>36</v>
      </c>
      <c r="G108">
        <v>214.2</v>
      </c>
      <c r="H108">
        <v>115</v>
      </c>
      <c r="I108">
        <v>36.409999999999997</v>
      </c>
      <c r="J108">
        <v>161.69999999999999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 x14ac:dyDescent="0.25">
      <c r="A109" t="s">
        <v>48</v>
      </c>
      <c r="B109">
        <v>90</v>
      </c>
      <c r="C109">
        <v>415</v>
      </c>
      <c r="D109" t="s">
        <v>29</v>
      </c>
      <c r="E109" t="s">
        <v>29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 x14ac:dyDescent="0.25">
      <c r="A110" t="s">
        <v>32</v>
      </c>
      <c r="B110">
        <v>78</v>
      </c>
      <c r="C110">
        <v>415</v>
      </c>
      <c r="D110" t="s">
        <v>29</v>
      </c>
      <c r="E110" t="s">
        <v>29</v>
      </c>
      <c r="F110">
        <v>0</v>
      </c>
      <c r="G110">
        <v>231</v>
      </c>
      <c r="H110">
        <v>115</v>
      </c>
      <c r="I110">
        <v>39.270000000000003</v>
      </c>
      <c r="J110">
        <v>230.4</v>
      </c>
      <c r="K110">
        <v>140</v>
      </c>
      <c r="L110">
        <v>19.579999999999998</v>
      </c>
      <c r="M110">
        <v>261.39999999999998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 x14ac:dyDescent="0.25">
      <c r="A111" t="s">
        <v>44</v>
      </c>
      <c r="B111">
        <v>82</v>
      </c>
      <c r="C111">
        <v>408</v>
      </c>
      <c r="D111" t="s">
        <v>29</v>
      </c>
      <c r="E111" t="s">
        <v>29</v>
      </c>
      <c r="F111">
        <v>0</v>
      </c>
      <c r="G111">
        <v>200.3</v>
      </c>
      <c r="H111">
        <v>96</v>
      </c>
      <c r="I111">
        <v>34.049999999999997</v>
      </c>
      <c r="J111">
        <v>201.2</v>
      </c>
      <c r="K111">
        <v>102</v>
      </c>
      <c r="L111">
        <v>17.100000000000001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 x14ac:dyDescent="0.25">
      <c r="A112" t="s">
        <v>56</v>
      </c>
      <c r="B112">
        <v>163</v>
      </c>
      <c r="C112">
        <v>408</v>
      </c>
      <c r="D112" t="s">
        <v>29</v>
      </c>
      <c r="E112" t="s">
        <v>29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9.2899999999999991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 x14ac:dyDescent="0.25">
      <c r="A113" t="s">
        <v>34</v>
      </c>
      <c r="B113">
        <v>91</v>
      </c>
      <c r="C113">
        <v>510</v>
      </c>
      <c r="D113" t="s">
        <v>30</v>
      </c>
      <c r="E113" t="s">
        <v>29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 x14ac:dyDescent="0.25">
      <c r="A114" t="s">
        <v>70</v>
      </c>
      <c r="B114">
        <v>75</v>
      </c>
      <c r="C114">
        <v>415</v>
      </c>
      <c r="D114" t="s">
        <v>29</v>
      </c>
      <c r="E114" t="s">
        <v>30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18.489999999999998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 x14ac:dyDescent="0.25">
      <c r="A115" t="s">
        <v>45</v>
      </c>
      <c r="B115">
        <v>91</v>
      </c>
      <c r="C115">
        <v>510</v>
      </c>
      <c r="D115" t="s">
        <v>29</v>
      </c>
      <c r="E115" t="s">
        <v>29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8.8000000000000007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 x14ac:dyDescent="0.25">
      <c r="A116" t="s">
        <v>54</v>
      </c>
      <c r="B116">
        <v>127</v>
      </c>
      <c r="C116">
        <v>510</v>
      </c>
      <c r="D116" t="s">
        <v>29</v>
      </c>
      <c r="E116" t="s">
        <v>30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 x14ac:dyDescent="0.25">
      <c r="A117" t="s">
        <v>68</v>
      </c>
      <c r="B117">
        <v>113</v>
      </c>
      <c r="C117">
        <v>415</v>
      </c>
      <c r="D117" t="s">
        <v>29</v>
      </c>
      <c r="E117" t="s">
        <v>30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b">
        <v>0</v>
      </c>
    </row>
    <row r="118" spans="1:20" x14ac:dyDescent="0.25">
      <c r="A118" t="s">
        <v>59</v>
      </c>
      <c r="B118">
        <v>110</v>
      </c>
      <c r="C118">
        <v>510</v>
      </c>
      <c r="D118" t="s">
        <v>29</v>
      </c>
      <c r="E118" t="s">
        <v>29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 x14ac:dyDescent="0.25">
      <c r="A119" t="s">
        <v>55</v>
      </c>
      <c r="B119">
        <v>120</v>
      </c>
      <c r="C119">
        <v>415</v>
      </c>
      <c r="D119" t="s">
        <v>29</v>
      </c>
      <c r="E119" t="s">
        <v>30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 x14ac:dyDescent="0.25">
      <c r="A120" t="s">
        <v>74</v>
      </c>
      <c r="B120">
        <v>157</v>
      </c>
      <c r="C120">
        <v>415</v>
      </c>
      <c r="D120" t="s">
        <v>29</v>
      </c>
      <c r="E120" t="s">
        <v>30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 x14ac:dyDescent="0.25">
      <c r="A121" t="s">
        <v>42</v>
      </c>
      <c r="B121">
        <v>103</v>
      </c>
      <c r="C121">
        <v>510</v>
      </c>
      <c r="D121" t="s">
        <v>29</v>
      </c>
      <c r="E121" t="s">
        <v>29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 x14ac:dyDescent="0.25">
      <c r="A122" t="s">
        <v>42</v>
      </c>
      <c r="B122">
        <v>117</v>
      </c>
      <c r="C122">
        <v>408</v>
      </c>
      <c r="D122" t="s">
        <v>30</v>
      </c>
      <c r="E122" t="s">
        <v>29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 x14ac:dyDescent="0.25">
      <c r="A123" t="s">
        <v>74</v>
      </c>
      <c r="B123">
        <v>140</v>
      </c>
      <c r="C123">
        <v>415</v>
      </c>
      <c r="D123" t="s">
        <v>29</v>
      </c>
      <c r="E123" t="s">
        <v>29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 x14ac:dyDescent="0.25">
      <c r="A124" t="s">
        <v>61</v>
      </c>
      <c r="B124">
        <v>83</v>
      </c>
      <c r="C124">
        <v>408</v>
      </c>
      <c r="D124" t="s">
        <v>30</v>
      </c>
      <c r="E124" t="s">
        <v>29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 x14ac:dyDescent="0.25">
      <c r="A125" t="s">
        <v>38</v>
      </c>
      <c r="B125">
        <v>145</v>
      </c>
      <c r="C125">
        <v>408</v>
      </c>
      <c r="D125" t="s">
        <v>29</v>
      </c>
      <c r="E125" t="s">
        <v>30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286.89999999999998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 x14ac:dyDescent="0.25">
      <c r="A126" t="s">
        <v>39</v>
      </c>
      <c r="B126">
        <v>113</v>
      </c>
      <c r="C126">
        <v>408</v>
      </c>
      <c r="D126" t="s">
        <v>29</v>
      </c>
      <c r="E126" t="s">
        <v>29</v>
      </c>
      <c r="F126">
        <v>0</v>
      </c>
      <c r="G126">
        <v>193.8</v>
      </c>
      <c r="H126">
        <v>99</v>
      </c>
      <c r="I126">
        <v>32.950000000000003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 x14ac:dyDescent="0.25">
      <c r="A127" t="s">
        <v>38</v>
      </c>
      <c r="B127">
        <v>56</v>
      </c>
      <c r="C127">
        <v>415</v>
      </c>
      <c r="D127" t="s">
        <v>29</v>
      </c>
      <c r="E127" t="s">
        <v>29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 x14ac:dyDescent="0.25">
      <c r="A128" t="s">
        <v>33</v>
      </c>
      <c r="B128">
        <v>96</v>
      </c>
      <c r="C128">
        <v>415</v>
      </c>
      <c r="D128" t="s">
        <v>29</v>
      </c>
      <c r="E128" t="s">
        <v>29</v>
      </c>
      <c r="F128">
        <v>0</v>
      </c>
      <c r="G128">
        <v>260.39999999999998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 x14ac:dyDescent="0.25">
      <c r="A129" t="s">
        <v>52</v>
      </c>
      <c r="B129">
        <v>151</v>
      </c>
      <c r="C129">
        <v>408</v>
      </c>
      <c r="D129" t="s">
        <v>29</v>
      </c>
      <c r="E129" t="s">
        <v>29</v>
      </c>
      <c r="F129">
        <v>0</v>
      </c>
      <c r="G129">
        <v>178.7</v>
      </c>
      <c r="H129">
        <v>116</v>
      </c>
      <c r="I129">
        <v>30.38</v>
      </c>
      <c r="J129">
        <v>292.10000000000002</v>
      </c>
      <c r="K129">
        <v>138</v>
      </c>
      <c r="L129">
        <v>24.83</v>
      </c>
      <c r="M129">
        <v>265.89999999999998</v>
      </c>
      <c r="N129">
        <v>101</v>
      </c>
      <c r="O129">
        <v>11.97</v>
      </c>
      <c r="P129">
        <v>9.8000000000000007</v>
      </c>
      <c r="Q129">
        <v>4</v>
      </c>
      <c r="R129">
        <v>2.65</v>
      </c>
      <c r="S129">
        <v>0</v>
      </c>
      <c r="T129" t="b">
        <v>0</v>
      </c>
    </row>
    <row r="130" spans="1:20" x14ac:dyDescent="0.25">
      <c r="A130" t="s">
        <v>31</v>
      </c>
      <c r="B130">
        <v>83</v>
      </c>
      <c r="C130">
        <v>415</v>
      </c>
      <c r="D130" t="s">
        <v>29</v>
      </c>
      <c r="E130" t="s">
        <v>29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19.329999999999998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4.2699999999999996</v>
      </c>
      <c r="S130">
        <v>0</v>
      </c>
      <c r="T130" t="b">
        <v>1</v>
      </c>
    </row>
    <row r="131" spans="1:20" x14ac:dyDescent="0.25">
      <c r="A131" t="s">
        <v>43</v>
      </c>
      <c r="B131">
        <v>139</v>
      </c>
      <c r="C131">
        <v>510</v>
      </c>
      <c r="D131" t="s">
        <v>29</v>
      </c>
      <c r="E131" t="s">
        <v>30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 x14ac:dyDescent="0.25">
      <c r="A132" t="s">
        <v>45</v>
      </c>
      <c r="B132">
        <v>115</v>
      </c>
      <c r="C132">
        <v>510</v>
      </c>
      <c r="D132" t="s">
        <v>29</v>
      </c>
      <c r="E132" t="s">
        <v>30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 x14ac:dyDescent="0.25">
      <c r="A133" t="s">
        <v>75</v>
      </c>
      <c r="B133">
        <v>87</v>
      </c>
      <c r="C133">
        <v>415</v>
      </c>
      <c r="D133" t="s">
        <v>29</v>
      </c>
      <c r="E133" t="s">
        <v>29</v>
      </c>
      <c r="F133">
        <v>0</v>
      </c>
      <c r="G133">
        <v>136.30000000000001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 x14ac:dyDescent="0.25">
      <c r="A134" t="s">
        <v>43</v>
      </c>
      <c r="B134">
        <v>141</v>
      </c>
      <c r="C134">
        <v>415</v>
      </c>
      <c r="D134" t="s">
        <v>29</v>
      </c>
      <c r="E134" t="s">
        <v>29</v>
      </c>
      <c r="F134">
        <v>0</v>
      </c>
      <c r="G134">
        <v>217.1</v>
      </c>
      <c r="H134">
        <v>110</v>
      </c>
      <c r="I134">
        <v>36.909999999999997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 x14ac:dyDescent="0.25">
      <c r="A135" t="s">
        <v>39</v>
      </c>
      <c r="B135">
        <v>141</v>
      </c>
      <c r="C135">
        <v>510</v>
      </c>
      <c r="D135" t="s">
        <v>29</v>
      </c>
      <c r="E135" t="s">
        <v>30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 x14ac:dyDescent="0.25">
      <c r="A136" t="s">
        <v>74</v>
      </c>
      <c r="B136">
        <v>62</v>
      </c>
      <c r="C136">
        <v>415</v>
      </c>
      <c r="D136" t="s">
        <v>29</v>
      </c>
      <c r="E136" t="s">
        <v>29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 x14ac:dyDescent="0.25">
      <c r="A137" t="s">
        <v>33</v>
      </c>
      <c r="B137">
        <v>146</v>
      </c>
      <c r="C137">
        <v>415</v>
      </c>
      <c r="D137" t="s">
        <v>29</v>
      </c>
      <c r="E137" t="s">
        <v>29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 x14ac:dyDescent="0.25">
      <c r="A138" t="s">
        <v>59</v>
      </c>
      <c r="B138">
        <v>92</v>
      </c>
      <c r="C138">
        <v>415</v>
      </c>
      <c r="D138" t="s">
        <v>29</v>
      </c>
      <c r="E138" t="s">
        <v>30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18.170000000000002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 x14ac:dyDescent="0.25">
      <c r="A139" t="s">
        <v>53</v>
      </c>
      <c r="B139">
        <v>185</v>
      </c>
      <c r="C139">
        <v>510</v>
      </c>
      <c r="D139" t="s">
        <v>29</v>
      </c>
      <c r="E139" t="s">
        <v>30</v>
      </c>
      <c r="F139">
        <v>31</v>
      </c>
      <c r="G139">
        <v>189.8</v>
      </c>
      <c r="H139">
        <v>126</v>
      </c>
      <c r="I139">
        <v>32.270000000000003</v>
      </c>
      <c r="J139">
        <v>163.30000000000001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2.0299999999999998</v>
      </c>
      <c r="S139">
        <v>1</v>
      </c>
      <c r="T139" t="b">
        <v>0</v>
      </c>
    </row>
    <row r="140" spans="1:20" x14ac:dyDescent="0.25">
      <c r="A140" t="s">
        <v>69</v>
      </c>
      <c r="B140">
        <v>148</v>
      </c>
      <c r="C140">
        <v>415</v>
      </c>
      <c r="D140" t="s">
        <v>29</v>
      </c>
      <c r="E140" t="s">
        <v>29</v>
      </c>
      <c r="F140">
        <v>0</v>
      </c>
      <c r="G140">
        <v>202</v>
      </c>
      <c r="H140">
        <v>102</v>
      </c>
      <c r="I140">
        <v>34.340000000000003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 x14ac:dyDescent="0.25">
      <c r="A141" t="s">
        <v>47</v>
      </c>
      <c r="B141">
        <v>94</v>
      </c>
      <c r="C141">
        <v>408</v>
      </c>
      <c r="D141" t="s">
        <v>29</v>
      </c>
      <c r="E141" t="s">
        <v>30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4.7699999999999996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 x14ac:dyDescent="0.25">
      <c r="A142" t="s">
        <v>46</v>
      </c>
      <c r="B142">
        <v>68</v>
      </c>
      <c r="C142">
        <v>408</v>
      </c>
      <c r="D142" t="s">
        <v>29</v>
      </c>
      <c r="E142" t="s">
        <v>29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 x14ac:dyDescent="0.25">
      <c r="A143" t="s">
        <v>52</v>
      </c>
      <c r="B143">
        <v>179</v>
      </c>
      <c r="C143">
        <v>408</v>
      </c>
      <c r="D143" t="s">
        <v>29</v>
      </c>
      <c r="E143" t="s">
        <v>29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 x14ac:dyDescent="0.25">
      <c r="A144" t="s">
        <v>48</v>
      </c>
      <c r="B144">
        <v>94</v>
      </c>
      <c r="C144">
        <v>415</v>
      </c>
      <c r="D144" t="s">
        <v>29</v>
      </c>
      <c r="E144" t="s">
        <v>29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 x14ac:dyDescent="0.25">
      <c r="A145" t="s">
        <v>66</v>
      </c>
      <c r="B145">
        <v>62</v>
      </c>
      <c r="C145">
        <v>415</v>
      </c>
      <c r="D145" t="s">
        <v>29</v>
      </c>
      <c r="E145" t="s">
        <v>29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8.7799999999999994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 x14ac:dyDescent="0.25">
      <c r="A146" t="s">
        <v>56</v>
      </c>
      <c r="B146">
        <v>116</v>
      </c>
      <c r="C146">
        <v>408</v>
      </c>
      <c r="D146" t="s">
        <v>29</v>
      </c>
      <c r="E146" t="s">
        <v>29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 x14ac:dyDescent="0.25">
      <c r="A147" t="s">
        <v>28</v>
      </c>
      <c r="B147">
        <v>70</v>
      </c>
      <c r="C147">
        <v>408</v>
      </c>
      <c r="D147" t="s">
        <v>29</v>
      </c>
      <c r="E147" t="s">
        <v>29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9.0500000000000007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 x14ac:dyDescent="0.25">
      <c r="A148" t="s">
        <v>37</v>
      </c>
      <c r="B148">
        <v>94</v>
      </c>
      <c r="C148">
        <v>510</v>
      </c>
      <c r="D148" t="s">
        <v>30</v>
      </c>
      <c r="E148" t="s">
        <v>30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 x14ac:dyDescent="0.25">
      <c r="A149" t="s">
        <v>54</v>
      </c>
      <c r="B149">
        <v>126</v>
      </c>
      <c r="C149">
        <v>415</v>
      </c>
      <c r="D149" t="s">
        <v>29</v>
      </c>
      <c r="E149" t="s">
        <v>29</v>
      </c>
      <c r="F149">
        <v>0</v>
      </c>
      <c r="G149">
        <v>58.2</v>
      </c>
      <c r="H149">
        <v>94</v>
      </c>
      <c r="I149">
        <v>9.89</v>
      </c>
      <c r="J149">
        <v>138.69999999999999</v>
      </c>
      <c r="K149">
        <v>118</v>
      </c>
      <c r="L149">
        <v>11.79</v>
      </c>
      <c r="M149">
        <v>136.80000000000001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 x14ac:dyDescent="0.25">
      <c r="A150" t="s">
        <v>70</v>
      </c>
      <c r="B150">
        <v>67</v>
      </c>
      <c r="C150">
        <v>408</v>
      </c>
      <c r="D150" t="s">
        <v>29</v>
      </c>
      <c r="E150" t="s">
        <v>30</v>
      </c>
      <c r="F150">
        <v>36</v>
      </c>
      <c r="G150">
        <v>115.6</v>
      </c>
      <c r="H150">
        <v>111</v>
      </c>
      <c r="I150">
        <v>19.649999999999999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 x14ac:dyDescent="0.25">
      <c r="A151" t="s">
        <v>51</v>
      </c>
      <c r="B151">
        <v>19</v>
      </c>
      <c r="C151">
        <v>408</v>
      </c>
      <c r="D151" t="s">
        <v>29</v>
      </c>
      <c r="E151" t="s">
        <v>29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9.6300000000000008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 x14ac:dyDescent="0.25">
      <c r="A152" t="s">
        <v>43</v>
      </c>
      <c r="B152">
        <v>170</v>
      </c>
      <c r="C152">
        <v>510</v>
      </c>
      <c r="D152" t="s">
        <v>30</v>
      </c>
      <c r="E152" t="s">
        <v>29</v>
      </c>
      <c r="F152">
        <v>0</v>
      </c>
      <c r="G152">
        <v>259.89999999999998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 x14ac:dyDescent="0.25">
      <c r="A153" t="s">
        <v>67</v>
      </c>
      <c r="B153">
        <v>73</v>
      </c>
      <c r="C153">
        <v>415</v>
      </c>
      <c r="D153" t="s">
        <v>29</v>
      </c>
      <c r="E153" t="s">
        <v>29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 x14ac:dyDescent="0.25">
      <c r="A154" t="s">
        <v>70</v>
      </c>
      <c r="B154">
        <v>106</v>
      </c>
      <c r="C154">
        <v>408</v>
      </c>
      <c r="D154" t="s">
        <v>29</v>
      </c>
      <c r="E154" t="s">
        <v>29</v>
      </c>
      <c r="F154">
        <v>0</v>
      </c>
      <c r="G154">
        <v>158.69999999999999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10.199999999999999</v>
      </c>
      <c r="Q154">
        <v>4</v>
      </c>
      <c r="R154">
        <v>2.75</v>
      </c>
      <c r="S154">
        <v>1</v>
      </c>
      <c r="T154" t="b">
        <v>0</v>
      </c>
    </row>
    <row r="155" spans="1:20" x14ac:dyDescent="0.25">
      <c r="A155" t="s">
        <v>49</v>
      </c>
      <c r="B155">
        <v>164</v>
      </c>
      <c r="C155">
        <v>510</v>
      </c>
      <c r="D155" t="s">
        <v>29</v>
      </c>
      <c r="E155" t="s">
        <v>29</v>
      </c>
      <c r="F155">
        <v>0</v>
      </c>
      <c r="G155">
        <v>160.6</v>
      </c>
      <c r="H155">
        <v>111</v>
      </c>
      <c r="I155">
        <v>27.3</v>
      </c>
      <c r="J155">
        <v>163.19999999999999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2.4300000000000002</v>
      </c>
      <c r="S155">
        <v>1</v>
      </c>
      <c r="T155" t="b">
        <v>0</v>
      </c>
    </row>
    <row r="156" spans="1:20" x14ac:dyDescent="0.25">
      <c r="A156" t="s">
        <v>65</v>
      </c>
      <c r="B156">
        <v>51</v>
      </c>
      <c r="C156">
        <v>408</v>
      </c>
      <c r="D156" t="s">
        <v>29</v>
      </c>
      <c r="E156" t="s">
        <v>29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 x14ac:dyDescent="0.25">
      <c r="A157" t="s">
        <v>46</v>
      </c>
      <c r="B157">
        <v>107</v>
      </c>
      <c r="C157">
        <v>415</v>
      </c>
      <c r="D157" t="s">
        <v>29</v>
      </c>
      <c r="E157" t="s">
        <v>29</v>
      </c>
      <c r="F157">
        <v>0</v>
      </c>
      <c r="G157">
        <v>133.80000000000001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 x14ac:dyDescent="0.25">
      <c r="A158" t="s">
        <v>44</v>
      </c>
      <c r="B158">
        <v>130</v>
      </c>
      <c r="C158">
        <v>415</v>
      </c>
      <c r="D158" t="s">
        <v>29</v>
      </c>
      <c r="E158" t="s">
        <v>29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 x14ac:dyDescent="0.25">
      <c r="A159" t="s">
        <v>71</v>
      </c>
      <c r="B159">
        <v>80</v>
      </c>
      <c r="C159">
        <v>408</v>
      </c>
      <c r="D159" t="s">
        <v>29</v>
      </c>
      <c r="E159" t="s">
        <v>29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b">
        <v>0</v>
      </c>
    </row>
    <row r="160" spans="1:20" x14ac:dyDescent="0.25">
      <c r="A160" t="s">
        <v>40</v>
      </c>
      <c r="B160">
        <v>94</v>
      </c>
      <c r="C160">
        <v>415</v>
      </c>
      <c r="D160" t="s">
        <v>29</v>
      </c>
      <c r="E160" t="s">
        <v>29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 x14ac:dyDescent="0.25">
      <c r="A161" t="s">
        <v>33</v>
      </c>
      <c r="B161">
        <v>118</v>
      </c>
      <c r="C161">
        <v>408</v>
      </c>
      <c r="D161" t="s">
        <v>29</v>
      </c>
      <c r="E161" t="s">
        <v>30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 x14ac:dyDescent="0.25">
      <c r="A162" t="s">
        <v>55</v>
      </c>
      <c r="B162">
        <v>117</v>
      </c>
      <c r="C162">
        <v>415</v>
      </c>
      <c r="D162" t="s">
        <v>29</v>
      </c>
      <c r="E162" t="s">
        <v>30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 x14ac:dyDescent="0.25">
      <c r="A163" t="s">
        <v>76</v>
      </c>
      <c r="B163">
        <v>78</v>
      </c>
      <c r="C163">
        <v>415</v>
      </c>
      <c r="D163" t="s">
        <v>29</v>
      </c>
      <c r="E163" t="s">
        <v>29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b">
        <v>0</v>
      </c>
    </row>
    <row r="164" spans="1:20" x14ac:dyDescent="0.25">
      <c r="A164" t="s">
        <v>72</v>
      </c>
      <c r="B164">
        <v>131</v>
      </c>
      <c r="C164">
        <v>510</v>
      </c>
      <c r="D164" t="s">
        <v>30</v>
      </c>
      <c r="E164" t="s">
        <v>30</v>
      </c>
      <c r="F164">
        <v>26</v>
      </c>
      <c r="G164">
        <v>292.89999999999998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 x14ac:dyDescent="0.25">
      <c r="A165" t="s">
        <v>69</v>
      </c>
      <c r="B165">
        <v>63</v>
      </c>
      <c r="C165">
        <v>408</v>
      </c>
      <c r="D165" t="s">
        <v>29</v>
      </c>
      <c r="E165" t="s">
        <v>29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 x14ac:dyDescent="0.25">
      <c r="A166" t="s">
        <v>66</v>
      </c>
      <c r="B166">
        <v>53</v>
      </c>
      <c r="C166">
        <v>415</v>
      </c>
      <c r="D166" t="s">
        <v>29</v>
      </c>
      <c r="E166" t="s">
        <v>30</v>
      </c>
      <c r="F166">
        <v>24</v>
      </c>
      <c r="G166">
        <v>145.69999999999999</v>
      </c>
      <c r="H166">
        <v>146</v>
      </c>
      <c r="I166">
        <v>24.77</v>
      </c>
      <c r="J166">
        <v>220.5</v>
      </c>
      <c r="K166">
        <v>136</v>
      </c>
      <c r="L166">
        <v>18.739999999999998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 x14ac:dyDescent="0.25">
      <c r="A167" t="s">
        <v>59</v>
      </c>
      <c r="B167">
        <v>62</v>
      </c>
      <c r="C167">
        <v>408</v>
      </c>
      <c r="D167" t="s">
        <v>29</v>
      </c>
      <c r="E167" t="s">
        <v>29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 x14ac:dyDescent="0.25">
      <c r="A168" t="s">
        <v>55</v>
      </c>
      <c r="B168">
        <v>97</v>
      </c>
      <c r="C168">
        <v>415</v>
      </c>
      <c r="D168" t="s">
        <v>29</v>
      </c>
      <c r="E168" t="s">
        <v>29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 x14ac:dyDescent="0.25">
      <c r="A169" t="s">
        <v>74</v>
      </c>
      <c r="B169">
        <v>105</v>
      </c>
      <c r="C169">
        <v>510</v>
      </c>
      <c r="D169" t="s">
        <v>29</v>
      </c>
      <c r="E169" t="s">
        <v>29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 x14ac:dyDescent="0.25">
      <c r="A170" t="s">
        <v>65</v>
      </c>
      <c r="B170">
        <v>157</v>
      </c>
      <c r="C170">
        <v>415</v>
      </c>
      <c r="D170" t="s">
        <v>29</v>
      </c>
      <c r="E170" t="s">
        <v>29</v>
      </c>
      <c r="F170">
        <v>0</v>
      </c>
      <c r="G170">
        <v>152.69999999999999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 x14ac:dyDescent="0.25">
      <c r="A171" t="s">
        <v>36</v>
      </c>
      <c r="B171">
        <v>66</v>
      </c>
      <c r="C171">
        <v>415</v>
      </c>
      <c r="D171" t="s">
        <v>29</v>
      </c>
      <c r="E171" t="s">
        <v>30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17.829999999999998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 x14ac:dyDescent="0.25">
      <c r="A172" t="s">
        <v>58</v>
      </c>
      <c r="B172">
        <v>38</v>
      </c>
      <c r="C172">
        <v>415</v>
      </c>
      <c r="D172" t="s">
        <v>29</v>
      </c>
      <c r="E172" t="s">
        <v>29</v>
      </c>
      <c r="F172">
        <v>0</v>
      </c>
      <c r="G172">
        <v>194.4</v>
      </c>
      <c r="H172">
        <v>94</v>
      </c>
      <c r="I172">
        <v>33.049999999999997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10.050000000000001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 x14ac:dyDescent="0.25">
      <c r="A173" t="s">
        <v>55</v>
      </c>
      <c r="B173">
        <v>106</v>
      </c>
      <c r="C173">
        <v>510</v>
      </c>
      <c r="D173" t="s">
        <v>29</v>
      </c>
      <c r="E173" t="s">
        <v>29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260.10000000000002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 x14ac:dyDescent="0.25">
      <c r="A174" t="s">
        <v>38</v>
      </c>
      <c r="B174">
        <v>99</v>
      </c>
      <c r="C174">
        <v>510</v>
      </c>
      <c r="D174" t="s">
        <v>29</v>
      </c>
      <c r="E174" t="s">
        <v>29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4.2699999999999996</v>
      </c>
      <c r="S174">
        <v>3</v>
      </c>
      <c r="T174" t="b">
        <v>0</v>
      </c>
    </row>
    <row r="175" spans="1:20" x14ac:dyDescent="0.25">
      <c r="A175" t="s">
        <v>47</v>
      </c>
      <c r="B175">
        <v>144</v>
      </c>
      <c r="C175">
        <v>510</v>
      </c>
      <c r="D175" t="s">
        <v>30</v>
      </c>
      <c r="E175" t="s">
        <v>29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 x14ac:dyDescent="0.25">
      <c r="A176" t="s">
        <v>77</v>
      </c>
      <c r="B176">
        <v>82</v>
      </c>
      <c r="C176">
        <v>415</v>
      </c>
      <c r="D176" t="s">
        <v>29</v>
      </c>
      <c r="E176" t="s">
        <v>30</v>
      </c>
      <c r="F176">
        <v>24</v>
      </c>
      <c r="G176">
        <v>155.19999999999999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 x14ac:dyDescent="0.25">
      <c r="A177" t="s">
        <v>47</v>
      </c>
      <c r="B177">
        <v>86</v>
      </c>
      <c r="C177">
        <v>408</v>
      </c>
      <c r="D177" t="s">
        <v>29</v>
      </c>
      <c r="E177" t="s">
        <v>30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 x14ac:dyDescent="0.25">
      <c r="A178" t="s">
        <v>45</v>
      </c>
      <c r="B178">
        <v>70</v>
      </c>
      <c r="C178">
        <v>510</v>
      </c>
      <c r="D178" t="s">
        <v>30</v>
      </c>
      <c r="E178" t="s">
        <v>29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17.600000000000001</v>
      </c>
      <c r="Q178">
        <v>4</v>
      </c>
      <c r="R178">
        <v>4.75</v>
      </c>
      <c r="S178">
        <v>2</v>
      </c>
      <c r="T178" t="b">
        <v>1</v>
      </c>
    </row>
    <row r="179" spans="1:20" x14ac:dyDescent="0.25">
      <c r="A179" t="s">
        <v>52</v>
      </c>
      <c r="B179">
        <v>93</v>
      </c>
      <c r="C179">
        <v>415</v>
      </c>
      <c r="D179" t="s">
        <v>29</v>
      </c>
      <c r="E179" t="s">
        <v>29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 x14ac:dyDescent="0.25">
      <c r="A180" t="s">
        <v>45</v>
      </c>
      <c r="B180">
        <v>93</v>
      </c>
      <c r="C180">
        <v>415</v>
      </c>
      <c r="D180" t="s">
        <v>29</v>
      </c>
      <c r="E180" t="s">
        <v>29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 x14ac:dyDescent="0.25">
      <c r="A181" t="s">
        <v>45</v>
      </c>
      <c r="B181">
        <v>120</v>
      </c>
      <c r="C181">
        <v>415</v>
      </c>
      <c r="D181" t="s">
        <v>29</v>
      </c>
      <c r="E181" t="s">
        <v>29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19.059999999999999</v>
      </c>
      <c r="M181">
        <v>265.39999999999998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 x14ac:dyDescent="0.25">
      <c r="A182" t="s">
        <v>55</v>
      </c>
      <c r="B182">
        <v>136</v>
      </c>
      <c r="C182">
        <v>415</v>
      </c>
      <c r="D182" t="s">
        <v>29</v>
      </c>
      <c r="E182" t="s">
        <v>29</v>
      </c>
      <c r="F182">
        <v>0</v>
      </c>
      <c r="G182">
        <v>250.2</v>
      </c>
      <c r="H182">
        <v>121</v>
      </c>
      <c r="I182">
        <v>42.53</v>
      </c>
      <c r="J182">
        <v>267.10000000000002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 x14ac:dyDescent="0.25">
      <c r="A183" t="s">
        <v>34</v>
      </c>
      <c r="B183">
        <v>106</v>
      </c>
      <c r="C183">
        <v>415</v>
      </c>
      <c r="D183" t="s">
        <v>29</v>
      </c>
      <c r="E183" t="s">
        <v>29</v>
      </c>
      <c r="F183">
        <v>0</v>
      </c>
      <c r="G183">
        <v>223</v>
      </c>
      <c r="H183">
        <v>121</v>
      </c>
      <c r="I183">
        <v>37.909999999999997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 x14ac:dyDescent="0.25">
      <c r="A184" t="s">
        <v>65</v>
      </c>
      <c r="B184">
        <v>81</v>
      </c>
      <c r="C184">
        <v>415</v>
      </c>
      <c r="D184" t="s">
        <v>29</v>
      </c>
      <c r="E184" t="s">
        <v>29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9.5500000000000007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 x14ac:dyDescent="0.25">
      <c r="A185" t="s">
        <v>76</v>
      </c>
      <c r="B185">
        <v>127</v>
      </c>
      <c r="C185">
        <v>408</v>
      </c>
      <c r="D185" t="s">
        <v>29</v>
      </c>
      <c r="E185" t="s">
        <v>30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10.199999999999999</v>
      </c>
      <c r="Q185">
        <v>6</v>
      </c>
      <c r="R185">
        <v>2.75</v>
      </c>
      <c r="S185">
        <v>1</v>
      </c>
      <c r="T185" t="b">
        <v>0</v>
      </c>
    </row>
    <row r="186" spans="1:20" x14ac:dyDescent="0.25">
      <c r="A186" t="s">
        <v>72</v>
      </c>
      <c r="B186">
        <v>35</v>
      </c>
      <c r="C186">
        <v>408</v>
      </c>
      <c r="D186" t="s">
        <v>29</v>
      </c>
      <c r="E186" t="s">
        <v>29</v>
      </c>
      <c r="F186">
        <v>0</v>
      </c>
      <c r="G186">
        <v>149.30000000000001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 x14ac:dyDescent="0.25">
      <c r="A187" t="s">
        <v>33</v>
      </c>
      <c r="B187">
        <v>88</v>
      </c>
      <c r="C187">
        <v>408</v>
      </c>
      <c r="D187" t="s">
        <v>29</v>
      </c>
      <c r="E187" t="s">
        <v>29</v>
      </c>
      <c r="F187">
        <v>0</v>
      </c>
      <c r="G187">
        <v>65.400000000000006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 x14ac:dyDescent="0.25">
      <c r="A188" t="s">
        <v>36</v>
      </c>
      <c r="B188">
        <v>123</v>
      </c>
      <c r="C188">
        <v>415</v>
      </c>
      <c r="D188" t="s">
        <v>29</v>
      </c>
      <c r="E188" t="s">
        <v>29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 x14ac:dyDescent="0.25">
      <c r="A189" t="s">
        <v>39</v>
      </c>
      <c r="B189">
        <v>126</v>
      </c>
      <c r="C189">
        <v>408</v>
      </c>
      <c r="D189" t="s">
        <v>29</v>
      </c>
      <c r="E189" t="s">
        <v>30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 x14ac:dyDescent="0.25">
      <c r="A190" t="s">
        <v>43</v>
      </c>
      <c r="B190">
        <v>104</v>
      </c>
      <c r="C190">
        <v>415</v>
      </c>
      <c r="D190" t="s">
        <v>29</v>
      </c>
      <c r="E190" t="s">
        <v>30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18.739999999999998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 x14ac:dyDescent="0.25">
      <c r="A191" t="s">
        <v>55</v>
      </c>
      <c r="B191">
        <v>93</v>
      </c>
      <c r="C191">
        <v>408</v>
      </c>
      <c r="D191" t="s">
        <v>30</v>
      </c>
      <c r="E191" t="s">
        <v>29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 x14ac:dyDescent="0.25">
      <c r="A192" t="s">
        <v>31</v>
      </c>
      <c r="B192">
        <v>63</v>
      </c>
      <c r="C192">
        <v>415</v>
      </c>
      <c r="D192" t="s">
        <v>30</v>
      </c>
      <c r="E192" t="s">
        <v>30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 x14ac:dyDescent="0.25">
      <c r="A193" t="s">
        <v>33</v>
      </c>
      <c r="B193">
        <v>100</v>
      </c>
      <c r="C193">
        <v>415</v>
      </c>
      <c r="D193" t="s">
        <v>29</v>
      </c>
      <c r="E193" t="s">
        <v>29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 x14ac:dyDescent="0.25">
      <c r="A194" t="s">
        <v>68</v>
      </c>
      <c r="B194">
        <v>53</v>
      </c>
      <c r="C194">
        <v>415</v>
      </c>
      <c r="D194" t="s">
        <v>29</v>
      </c>
      <c r="E194" t="s">
        <v>29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 x14ac:dyDescent="0.25">
      <c r="A195" t="s">
        <v>41</v>
      </c>
      <c r="B195">
        <v>92</v>
      </c>
      <c r="C195">
        <v>415</v>
      </c>
      <c r="D195" t="s">
        <v>30</v>
      </c>
      <c r="E195" t="s">
        <v>29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b">
        <v>0</v>
      </c>
    </row>
    <row r="196" spans="1:20" x14ac:dyDescent="0.25">
      <c r="A196" t="s">
        <v>63</v>
      </c>
      <c r="B196">
        <v>110</v>
      </c>
      <c r="C196">
        <v>408</v>
      </c>
      <c r="D196" t="s">
        <v>29</v>
      </c>
      <c r="E196" t="s">
        <v>30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2.4300000000000002</v>
      </c>
      <c r="S196">
        <v>2</v>
      </c>
      <c r="T196" t="b">
        <v>0</v>
      </c>
    </row>
    <row r="197" spans="1:20" x14ac:dyDescent="0.25">
      <c r="A197" t="s">
        <v>50</v>
      </c>
      <c r="B197">
        <v>110</v>
      </c>
      <c r="C197">
        <v>408</v>
      </c>
      <c r="D197" t="s">
        <v>29</v>
      </c>
      <c r="E197" t="s">
        <v>29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9.8000000000000007</v>
      </c>
      <c r="Q197">
        <v>7</v>
      </c>
      <c r="R197">
        <v>2.65</v>
      </c>
      <c r="S197">
        <v>3</v>
      </c>
      <c r="T197" t="b">
        <v>0</v>
      </c>
    </row>
    <row r="198" spans="1:20" x14ac:dyDescent="0.25">
      <c r="A198" t="s">
        <v>34</v>
      </c>
      <c r="B198">
        <v>73</v>
      </c>
      <c r="C198">
        <v>415</v>
      </c>
      <c r="D198" t="s">
        <v>29</v>
      </c>
      <c r="E198" t="s">
        <v>29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139.80000000000001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 x14ac:dyDescent="0.25">
      <c r="A199" t="s">
        <v>32</v>
      </c>
      <c r="B199">
        <v>138</v>
      </c>
      <c r="C199">
        <v>510</v>
      </c>
      <c r="D199" t="s">
        <v>29</v>
      </c>
      <c r="E199" t="s">
        <v>29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8.7899999999999991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 x14ac:dyDescent="0.25">
      <c r="A200" t="s">
        <v>68</v>
      </c>
      <c r="B200">
        <v>137</v>
      </c>
      <c r="C200">
        <v>415</v>
      </c>
      <c r="D200" t="s">
        <v>30</v>
      </c>
      <c r="E200" t="s">
        <v>29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10.039999999999999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 x14ac:dyDescent="0.25">
      <c r="A201" t="s">
        <v>60</v>
      </c>
      <c r="B201">
        <v>36</v>
      </c>
      <c r="C201">
        <v>415</v>
      </c>
      <c r="D201" t="s">
        <v>29</v>
      </c>
      <c r="E201" t="s">
        <v>29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 x14ac:dyDescent="0.25">
      <c r="A202" t="s">
        <v>37</v>
      </c>
      <c r="B202">
        <v>85</v>
      </c>
      <c r="C202">
        <v>408</v>
      </c>
      <c r="D202" t="s">
        <v>29</v>
      </c>
      <c r="E202" t="s">
        <v>29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 x14ac:dyDescent="0.25">
      <c r="A203" t="s">
        <v>43</v>
      </c>
      <c r="B203">
        <v>108</v>
      </c>
      <c r="C203">
        <v>408</v>
      </c>
      <c r="D203" t="s">
        <v>29</v>
      </c>
      <c r="E203" t="s">
        <v>29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 x14ac:dyDescent="0.25">
      <c r="A204" t="s">
        <v>75</v>
      </c>
      <c r="B204">
        <v>22</v>
      </c>
      <c r="C204">
        <v>408</v>
      </c>
      <c r="D204" t="s">
        <v>29</v>
      </c>
      <c r="E204" t="s">
        <v>29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 x14ac:dyDescent="0.25">
      <c r="A205" t="s">
        <v>38</v>
      </c>
      <c r="B205">
        <v>107</v>
      </c>
      <c r="C205">
        <v>415</v>
      </c>
      <c r="D205" t="s">
        <v>29</v>
      </c>
      <c r="E205" t="s">
        <v>30</v>
      </c>
      <c r="F205">
        <v>37</v>
      </c>
      <c r="G205">
        <v>60</v>
      </c>
      <c r="H205">
        <v>102</v>
      </c>
      <c r="I205">
        <v>10.199999999999999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 x14ac:dyDescent="0.25">
      <c r="A206" t="s">
        <v>60</v>
      </c>
      <c r="B206">
        <v>51</v>
      </c>
      <c r="C206">
        <v>510</v>
      </c>
      <c r="D206" t="s">
        <v>29</v>
      </c>
      <c r="E206" t="s">
        <v>29</v>
      </c>
      <c r="F206">
        <v>0</v>
      </c>
      <c r="G206">
        <v>214.8</v>
      </c>
      <c r="H206">
        <v>94</v>
      </c>
      <c r="I206">
        <v>36.520000000000003</v>
      </c>
      <c r="J206">
        <v>149.69999999999999</v>
      </c>
      <c r="K206">
        <v>58</v>
      </c>
      <c r="L206">
        <v>12.72</v>
      </c>
      <c r="M206">
        <v>283.39999999999998</v>
      </c>
      <c r="N206">
        <v>66</v>
      </c>
      <c r="O206">
        <v>12.75</v>
      </c>
      <c r="P206">
        <v>10.199999999999999</v>
      </c>
      <c r="Q206">
        <v>5</v>
      </c>
      <c r="R206">
        <v>2.75</v>
      </c>
      <c r="S206">
        <v>0</v>
      </c>
      <c r="T206" t="b">
        <v>0</v>
      </c>
    </row>
    <row r="207" spans="1:20" x14ac:dyDescent="0.25">
      <c r="A207" t="s">
        <v>58</v>
      </c>
      <c r="B207">
        <v>33</v>
      </c>
      <c r="C207">
        <v>415</v>
      </c>
      <c r="D207" t="s">
        <v>29</v>
      </c>
      <c r="E207" t="s">
        <v>30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 x14ac:dyDescent="0.25">
      <c r="A208" t="s">
        <v>32</v>
      </c>
      <c r="B208">
        <v>106</v>
      </c>
      <c r="C208">
        <v>415</v>
      </c>
      <c r="D208" t="s">
        <v>29</v>
      </c>
      <c r="E208" t="s">
        <v>29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 x14ac:dyDescent="0.25">
      <c r="A209" t="s">
        <v>73</v>
      </c>
      <c r="B209">
        <v>82</v>
      </c>
      <c r="C209">
        <v>408</v>
      </c>
      <c r="D209" t="s">
        <v>29</v>
      </c>
      <c r="E209" t="s">
        <v>29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 x14ac:dyDescent="0.25">
      <c r="A210" t="s">
        <v>44</v>
      </c>
      <c r="B210">
        <v>97</v>
      </c>
      <c r="C210">
        <v>415</v>
      </c>
      <c r="D210" t="s">
        <v>30</v>
      </c>
      <c r="E210" t="s">
        <v>29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 x14ac:dyDescent="0.25">
      <c r="A211" t="s">
        <v>69</v>
      </c>
      <c r="B211">
        <v>108</v>
      </c>
      <c r="C211">
        <v>510</v>
      </c>
      <c r="D211" t="s">
        <v>29</v>
      </c>
      <c r="E211" t="s">
        <v>29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9.8000000000000007</v>
      </c>
      <c r="Q211">
        <v>3</v>
      </c>
      <c r="R211">
        <v>2.65</v>
      </c>
      <c r="S211">
        <v>1</v>
      </c>
      <c r="T211" t="b">
        <v>0</v>
      </c>
    </row>
    <row r="212" spans="1:20" x14ac:dyDescent="0.25">
      <c r="A212" t="s">
        <v>44</v>
      </c>
      <c r="B212">
        <v>114</v>
      </c>
      <c r="C212">
        <v>415</v>
      </c>
      <c r="D212" t="s">
        <v>29</v>
      </c>
      <c r="E212" t="s">
        <v>29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8.6999999999999993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 x14ac:dyDescent="0.25">
      <c r="A213" t="s">
        <v>61</v>
      </c>
      <c r="B213">
        <v>59</v>
      </c>
      <c r="C213">
        <v>510</v>
      </c>
      <c r="D213" t="s">
        <v>29</v>
      </c>
      <c r="E213" t="s">
        <v>29</v>
      </c>
      <c r="F213">
        <v>0</v>
      </c>
      <c r="G213">
        <v>155.19999999999999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8.6999999999999993</v>
      </c>
      <c r="Q213">
        <v>4</v>
      </c>
      <c r="R213">
        <v>2.35</v>
      </c>
      <c r="S213">
        <v>1</v>
      </c>
      <c r="T213" t="b">
        <v>0</v>
      </c>
    </row>
    <row r="214" spans="1:20" x14ac:dyDescent="0.25">
      <c r="A214" t="s">
        <v>66</v>
      </c>
      <c r="B214">
        <v>24</v>
      </c>
      <c r="C214">
        <v>510</v>
      </c>
      <c r="D214" t="s">
        <v>29</v>
      </c>
      <c r="E214" t="s">
        <v>30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 x14ac:dyDescent="0.25">
      <c r="A215" t="s">
        <v>50</v>
      </c>
      <c r="B215">
        <v>151</v>
      </c>
      <c r="C215">
        <v>408</v>
      </c>
      <c r="D215" t="s">
        <v>29</v>
      </c>
      <c r="E215" t="s">
        <v>29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 x14ac:dyDescent="0.25">
      <c r="A216" t="s">
        <v>67</v>
      </c>
      <c r="B216">
        <v>117</v>
      </c>
      <c r="C216">
        <v>415</v>
      </c>
      <c r="D216" t="s">
        <v>29</v>
      </c>
      <c r="E216" t="s">
        <v>29</v>
      </c>
      <c r="F216">
        <v>0</v>
      </c>
      <c r="G216">
        <v>143.30000000000001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 x14ac:dyDescent="0.25">
      <c r="A217" t="s">
        <v>37</v>
      </c>
      <c r="B217">
        <v>114</v>
      </c>
      <c r="C217">
        <v>510</v>
      </c>
      <c r="D217" t="s">
        <v>29</v>
      </c>
      <c r="E217" t="s">
        <v>30</v>
      </c>
      <c r="F217">
        <v>30</v>
      </c>
      <c r="G217">
        <v>206.2</v>
      </c>
      <c r="H217">
        <v>79</v>
      </c>
      <c r="I217">
        <v>35.049999999999997</v>
      </c>
      <c r="J217">
        <v>260</v>
      </c>
      <c r="K217">
        <v>91</v>
      </c>
      <c r="L217">
        <v>22.1</v>
      </c>
      <c r="M217">
        <v>291.60000000000002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 x14ac:dyDescent="0.25">
      <c r="A218" t="s">
        <v>38</v>
      </c>
      <c r="B218">
        <v>114</v>
      </c>
      <c r="C218">
        <v>510</v>
      </c>
      <c r="D218" t="s">
        <v>29</v>
      </c>
      <c r="E218" t="s">
        <v>30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 x14ac:dyDescent="0.25">
      <c r="A219" t="s">
        <v>51</v>
      </c>
      <c r="B219">
        <v>119</v>
      </c>
      <c r="C219">
        <v>408</v>
      </c>
      <c r="D219" t="s">
        <v>29</v>
      </c>
      <c r="E219" t="s">
        <v>29</v>
      </c>
      <c r="F219">
        <v>0</v>
      </c>
      <c r="G219">
        <v>138.30000000000001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263.89999999999998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 x14ac:dyDescent="0.25">
      <c r="A220" t="s">
        <v>35</v>
      </c>
      <c r="B220">
        <v>118</v>
      </c>
      <c r="C220">
        <v>408</v>
      </c>
      <c r="D220" t="s">
        <v>30</v>
      </c>
      <c r="E220" t="s">
        <v>29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 x14ac:dyDescent="0.25">
      <c r="A221" t="s">
        <v>77</v>
      </c>
      <c r="B221">
        <v>101</v>
      </c>
      <c r="C221">
        <v>415</v>
      </c>
      <c r="D221" t="s">
        <v>29</v>
      </c>
      <c r="E221" t="s">
        <v>29</v>
      </c>
      <c r="F221">
        <v>0</v>
      </c>
      <c r="G221">
        <v>206.6</v>
      </c>
      <c r="H221">
        <v>105</v>
      </c>
      <c r="I221">
        <v>35.119999999999997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 x14ac:dyDescent="0.25">
      <c r="A222" t="s">
        <v>33</v>
      </c>
      <c r="B222">
        <v>117</v>
      </c>
      <c r="C222">
        <v>415</v>
      </c>
      <c r="D222" t="s">
        <v>29</v>
      </c>
      <c r="E222" t="s">
        <v>29</v>
      </c>
      <c r="F222">
        <v>0</v>
      </c>
      <c r="G222">
        <v>134.69999999999999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9.0399999999999991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 x14ac:dyDescent="0.25">
      <c r="A223" t="s">
        <v>34</v>
      </c>
      <c r="B223">
        <v>49</v>
      </c>
      <c r="C223">
        <v>415</v>
      </c>
      <c r="D223" t="s">
        <v>29</v>
      </c>
      <c r="E223" t="s">
        <v>30</v>
      </c>
      <c r="F223">
        <v>28</v>
      </c>
      <c r="G223">
        <v>214.4</v>
      </c>
      <c r="H223">
        <v>78</v>
      </c>
      <c r="I223">
        <v>36.450000000000003</v>
      </c>
      <c r="J223">
        <v>235.2</v>
      </c>
      <c r="K223">
        <v>100</v>
      </c>
      <c r="L223">
        <v>19.989999999999998</v>
      </c>
      <c r="M223">
        <v>206.2</v>
      </c>
      <c r="N223">
        <v>107</v>
      </c>
      <c r="O223">
        <v>9.2799999999999994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 x14ac:dyDescent="0.25">
      <c r="A224" t="s">
        <v>49</v>
      </c>
      <c r="B224">
        <v>139</v>
      </c>
      <c r="C224">
        <v>415</v>
      </c>
      <c r="D224" t="s">
        <v>29</v>
      </c>
      <c r="E224" t="s">
        <v>29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19.920000000000002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 x14ac:dyDescent="0.25">
      <c r="A225" t="s">
        <v>77</v>
      </c>
      <c r="B225">
        <v>92</v>
      </c>
      <c r="C225">
        <v>408</v>
      </c>
      <c r="D225" t="s">
        <v>29</v>
      </c>
      <c r="E225" t="s">
        <v>30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16.559999999999999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 x14ac:dyDescent="0.25">
      <c r="A226" t="s">
        <v>78</v>
      </c>
      <c r="B226">
        <v>148</v>
      </c>
      <c r="C226">
        <v>510</v>
      </c>
      <c r="D226" t="s">
        <v>30</v>
      </c>
      <c r="E226" t="s">
        <v>29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 x14ac:dyDescent="0.25">
      <c r="A227" t="s">
        <v>34</v>
      </c>
      <c r="B227">
        <v>131</v>
      </c>
      <c r="C227">
        <v>415</v>
      </c>
      <c r="D227" t="s">
        <v>29</v>
      </c>
      <c r="E227" t="s">
        <v>30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 x14ac:dyDescent="0.25">
      <c r="A228" t="s">
        <v>42</v>
      </c>
      <c r="B228">
        <v>146</v>
      </c>
      <c r="C228">
        <v>510</v>
      </c>
      <c r="D228" t="s">
        <v>30</v>
      </c>
      <c r="E228" t="s">
        <v>29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 x14ac:dyDescent="0.25">
      <c r="A229" t="s">
        <v>54</v>
      </c>
      <c r="B229">
        <v>48</v>
      </c>
      <c r="C229">
        <v>415</v>
      </c>
      <c r="D229" t="s">
        <v>29</v>
      </c>
      <c r="E229" t="s">
        <v>30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 x14ac:dyDescent="0.25">
      <c r="A230" t="s">
        <v>74</v>
      </c>
      <c r="B230">
        <v>86</v>
      </c>
      <c r="C230">
        <v>415</v>
      </c>
      <c r="D230" t="s">
        <v>29</v>
      </c>
      <c r="E230" t="s">
        <v>30</v>
      </c>
      <c r="F230">
        <v>28</v>
      </c>
      <c r="G230">
        <v>221.6</v>
      </c>
      <c r="H230">
        <v>74</v>
      </c>
      <c r="I230">
        <v>37.67</v>
      </c>
      <c r="J230">
        <v>288.39999999999998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2.4300000000000002</v>
      </c>
      <c r="S230">
        <v>1</v>
      </c>
      <c r="T230" t="b">
        <v>0</v>
      </c>
    </row>
    <row r="231" spans="1:20" x14ac:dyDescent="0.25">
      <c r="A231" t="s">
        <v>59</v>
      </c>
      <c r="B231">
        <v>71</v>
      </c>
      <c r="C231">
        <v>415</v>
      </c>
      <c r="D231" t="s">
        <v>29</v>
      </c>
      <c r="E231" t="s">
        <v>29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281.39999999999998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 x14ac:dyDescent="0.25">
      <c r="A232" t="s">
        <v>74</v>
      </c>
      <c r="B232">
        <v>137</v>
      </c>
      <c r="C232">
        <v>510</v>
      </c>
      <c r="D232" t="s">
        <v>29</v>
      </c>
      <c r="E232" t="s">
        <v>29</v>
      </c>
      <c r="F232">
        <v>0</v>
      </c>
      <c r="G232">
        <v>206.4</v>
      </c>
      <c r="H232">
        <v>122</v>
      </c>
      <c r="I232">
        <v>35.090000000000003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8.8000000000000007</v>
      </c>
      <c r="Q232">
        <v>5</v>
      </c>
      <c r="R232">
        <v>2.38</v>
      </c>
      <c r="S232">
        <v>2</v>
      </c>
      <c r="T232" t="b">
        <v>0</v>
      </c>
    </row>
    <row r="233" spans="1:20" x14ac:dyDescent="0.25">
      <c r="A233" t="s">
        <v>28</v>
      </c>
      <c r="B233">
        <v>137</v>
      </c>
      <c r="C233">
        <v>408</v>
      </c>
      <c r="D233" t="s">
        <v>29</v>
      </c>
      <c r="E233" t="s">
        <v>29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289.89999999999998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 x14ac:dyDescent="0.25">
      <c r="A234" t="s">
        <v>34</v>
      </c>
      <c r="B234">
        <v>167</v>
      </c>
      <c r="C234">
        <v>510</v>
      </c>
      <c r="D234" t="s">
        <v>29</v>
      </c>
      <c r="E234" t="s">
        <v>29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 x14ac:dyDescent="0.25">
      <c r="A235" t="s">
        <v>48</v>
      </c>
      <c r="B235">
        <v>132</v>
      </c>
      <c r="C235">
        <v>510</v>
      </c>
      <c r="D235" t="s">
        <v>29</v>
      </c>
      <c r="E235" t="s">
        <v>29</v>
      </c>
      <c r="F235">
        <v>0</v>
      </c>
      <c r="G235">
        <v>99.5</v>
      </c>
      <c r="H235">
        <v>110</v>
      </c>
      <c r="I235">
        <v>16.920000000000002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9.6999999999999993</v>
      </c>
      <c r="Q235">
        <v>3</v>
      </c>
      <c r="R235">
        <v>2.62</v>
      </c>
      <c r="S235">
        <v>0</v>
      </c>
      <c r="T235" t="b">
        <v>0</v>
      </c>
    </row>
    <row r="236" spans="1:20" x14ac:dyDescent="0.25">
      <c r="A236" t="s">
        <v>57</v>
      </c>
      <c r="B236">
        <v>94</v>
      </c>
      <c r="C236">
        <v>510</v>
      </c>
      <c r="D236" t="s">
        <v>29</v>
      </c>
      <c r="E236" t="s">
        <v>29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16.489999999999998</v>
      </c>
      <c r="M236">
        <v>146.69999999999999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 x14ac:dyDescent="0.25">
      <c r="A237" t="s">
        <v>57</v>
      </c>
      <c r="B237">
        <v>96</v>
      </c>
      <c r="C237">
        <v>510</v>
      </c>
      <c r="D237" t="s">
        <v>29</v>
      </c>
      <c r="E237" t="s">
        <v>30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9.8000000000000007</v>
      </c>
      <c r="Q237">
        <v>3</v>
      </c>
      <c r="R237">
        <v>2.65</v>
      </c>
      <c r="S237">
        <v>1</v>
      </c>
      <c r="T237" t="b">
        <v>0</v>
      </c>
    </row>
    <row r="238" spans="1:20" x14ac:dyDescent="0.25">
      <c r="A238" t="s">
        <v>60</v>
      </c>
      <c r="B238">
        <v>166</v>
      </c>
      <c r="C238">
        <v>510</v>
      </c>
      <c r="D238" t="s">
        <v>29</v>
      </c>
      <c r="E238" t="s">
        <v>29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 x14ac:dyDescent="0.25">
      <c r="A239" t="s">
        <v>69</v>
      </c>
      <c r="B239">
        <v>74</v>
      </c>
      <c r="C239">
        <v>415</v>
      </c>
      <c r="D239" t="s">
        <v>29</v>
      </c>
      <c r="E239" t="s">
        <v>29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 x14ac:dyDescent="0.25">
      <c r="A240" t="s">
        <v>56</v>
      </c>
      <c r="B240">
        <v>36</v>
      </c>
      <c r="C240">
        <v>415</v>
      </c>
      <c r="D240" t="s">
        <v>29</v>
      </c>
      <c r="E240" t="s">
        <v>29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 x14ac:dyDescent="0.25">
      <c r="A241" t="s">
        <v>72</v>
      </c>
      <c r="B241">
        <v>113</v>
      </c>
      <c r="C241">
        <v>415</v>
      </c>
      <c r="D241" t="s">
        <v>29</v>
      </c>
      <c r="E241" t="s">
        <v>29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 x14ac:dyDescent="0.25">
      <c r="A242" t="s">
        <v>55</v>
      </c>
      <c r="B242">
        <v>67</v>
      </c>
      <c r="C242">
        <v>415</v>
      </c>
      <c r="D242" t="s">
        <v>29</v>
      </c>
      <c r="E242" t="s">
        <v>29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9.3800000000000008</v>
      </c>
      <c r="M242">
        <v>195.4</v>
      </c>
      <c r="N242">
        <v>111</v>
      </c>
      <c r="O242">
        <v>8.7899999999999991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 x14ac:dyDescent="0.25">
      <c r="A243" t="s">
        <v>39</v>
      </c>
      <c r="B243">
        <v>158</v>
      </c>
      <c r="C243">
        <v>415</v>
      </c>
      <c r="D243" t="s">
        <v>29</v>
      </c>
      <c r="E243" t="s">
        <v>29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 x14ac:dyDescent="0.25">
      <c r="A244" t="s">
        <v>47</v>
      </c>
      <c r="B244">
        <v>136</v>
      </c>
      <c r="C244">
        <v>510</v>
      </c>
      <c r="D244" t="s">
        <v>29</v>
      </c>
      <c r="E244" t="s">
        <v>29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9.6300000000000008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 x14ac:dyDescent="0.25">
      <c r="A245" t="s">
        <v>36</v>
      </c>
      <c r="B245">
        <v>196</v>
      </c>
      <c r="C245">
        <v>415</v>
      </c>
      <c r="D245" t="s">
        <v>29</v>
      </c>
      <c r="E245" t="s">
        <v>29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 x14ac:dyDescent="0.25">
      <c r="A246" t="s">
        <v>42</v>
      </c>
      <c r="B246">
        <v>113</v>
      </c>
      <c r="C246">
        <v>415</v>
      </c>
      <c r="D246" t="s">
        <v>29</v>
      </c>
      <c r="E246" t="s">
        <v>29</v>
      </c>
      <c r="F246">
        <v>0</v>
      </c>
      <c r="G246">
        <v>272.10000000000002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9.6199999999999992</v>
      </c>
      <c r="P246">
        <v>8.5</v>
      </c>
      <c r="Q246">
        <v>10</v>
      </c>
      <c r="R246">
        <v>2.2999999999999998</v>
      </c>
      <c r="S246">
        <v>1</v>
      </c>
      <c r="T246" t="b">
        <v>1</v>
      </c>
    </row>
    <row r="247" spans="1:20" x14ac:dyDescent="0.25">
      <c r="A247" t="s">
        <v>38</v>
      </c>
      <c r="B247">
        <v>112</v>
      </c>
      <c r="C247">
        <v>510</v>
      </c>
      <c r="D247" t="s">
        <v>29</v>
      </c>
      <c r="E247" t="s">
        <v>29</v>
      </c>
      <c r="F247">
        <v>0</v>
      </c>
      <c r="G247">
        <v>194.4</v>
      </c>
      <c r="H247">
        <v>101</v>
      </c>
      <c r="I247">
        <v>33.049999999999997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 x14ac:dyDescent="0.25">
      <c r="A248" t="s">
        <v>63</v>
      </c>
      <c r="B248">
        <v>209</v>
      </c>
      <c r="C248">
        <v>415</v>
      </c>
      <c r="D248" t="s">
        <v>29</v>
      </c>
      <c r="E248" t="s">
        <v>29</v>
      </c>
      <c r="F248">
        <v>0</v>
      </c>
      <c r="G248">
        <v>227.2</v>
      </c>
      <c r="H248">
        <v>128</v>
      </c>
      <c r="I248">
        <v>38.619999999999997</v>
      </c>
      <c r="J248">
        <v>258.39999999999998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 x14ac:dyDescent="0.25">
      <c r="A249" t="s">
        <v>66</v>
      </c>
      <c r="B249">
        <v>62</v>
      </c>
      <c r="C249">
        <v>415</v>
      </c>
      <c r="D249" t="s">
        <v>29</v>
      </c>
      <c r="E249" t="s">
        <v>29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 x14ac:dyDescent="0.25">
      <c r="A250" t="s">
        <v>44</v>
      </c>
      <c r="B250">
        <v>110</v>
      </c>
      <c r="C250">
        <v>415</v>
      </c>
      <c r="D250" t="s">
        <v>29</v>
      </c>
      <c r="E250" t="s">
        <v>30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16.649999999999999</v>
      </c>
      <c r="M250">
        <v>183.5</v>
      </c>
      <c r="N250">
        <v>82</v>
      </c>
      <c r="O250">
        <v>8.26</v>
      </c>
      <c r="P250">
        <v>9.6999999999999993</v>
      </c>
      <c r="Q250">
        <v>6</v>
      </c>
      <c r="R250">
        <v>2.62</v>
      </c>
      <c r="S250">
        <v>1</v>
      </c>
      <c r="T250" t="b">
        <v>0</v>
      </c>
    </row>
    <row r="251" spans="1:20" x14ac:dyDescent="0.25">
      <c r="A251" t="s">
        <v>43</v>
      </c>
      <c r="B251">
        <v>16</v>
      </c>
      <c r="C251">
        <v>510</v>
      </c>
      <c r="D251" t="s">
        <v>29</v>
      </c>
      <c r="E251" t="s">
        <v>29</v>
      </c>
      <c r="F251">
        <v>0</v>
      </c>
      <c r="G251">
        <v>205.6</v>
      </c>
      <c r="H251">
        <v>69</v>
      </c>
      <c r="I251">
        <v>34.950000000000003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 x14ac:dyDescent="0.25">
      <c r="A252" t="s">
        <v>35</v>
      </c>
      <c r="B252">
        <v>73</v>
      </c>
      <c r="C252">
        <v>408</v>
      </c>
      <c r="D252" t="s">
        <v>29</v>
      </c>
      <c r="E252" t="s">
        <v>29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9.8000000000000007</v>
      </c>
      <c r="Q252">
        <v>4</v>
      </c>
      <c r="R252">
        <v>2.65</v>
      </c>
      <c r="S252">
        <v>0</v>
      </c>
      <c r="T252" t="b">
        <v>0</v>
      </c>
    </row>
    <row r="253" spans="1:20" x14ac:dyDescent="0.25">
      <c r="A253" t="s">
        <v>41</v>
      </c>
      <c r="B253">
        <v>128</v>
      </c>
      <c r="C253">
        <v>408</v>
      </c>
      <c r="D253" t="s">
        <v>29</v>
      </c>
      <c r="E253" t="s">
        <v>29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18.899999999999999</v>
      </c>
      <c r="Q253">
        <v>2</v>
      </c>
      <c r="R253">
        <v>5.0999999999999996</v>
      </c>
      <c r="S253">
        <v>0</v>
      </c>
      <c r="T253" t="b">
        <v>0</v>
      </c>
    </row>
    <row r="254" spans="1:20" x14ac:dyDescent="0.25">
      <c r="A254" t="s">
        <v>35</v>
      </c>
      <c r="B254">
        <v>39</v>
      </c>
      <c r="C254">
        <v>408</v>
      </c>
      <c r="D254" t="s">
        <v>29</v>
      </c>
      <c r="E254" t="s">
        <v>29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 x14ac:dyDescent="0.25">
      <c r="A255" t="s">
        <v>53</v>
      </c>
      <c r="B255">
        <v>103</v>
      </c>
      <c r="C255">
        <v>415</v>
      </c>
      <c r="D255" t="s">
        <v>29</v>
      </c>
      <c r="E255" t="s">
        <v>30</v>
      </c>
      <c r="F255">
        <v>28</v>
      </c>
      <c r="G255">
        <v>121</v>
      </c>
      <c r="H255">
        <v>105</v>
      </c>
      <c r="I255">
        <v>20.57</v>
      </c>
      <c r="J255">
        <v>270.39999999999998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 x14ac:dyDescent="0.25">
      <c r="A256" t="s">
        <v>38</v>
      </c>
      <c r="B256">
        <v>119</v>
      </c>
      <c r="C256">
        <v>415</v>
      </c>
      <c r="D256" t="s">
        <v>29</v>
      </c>
      <c r="E256" t="s">
        <v>30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2.0499999999999998</v>
      </c>
      <c r="S256">
        <v>3</v>
      </c>
      <c r="T256" t="b">
        <v>0</v>
      </c>
    </row>
    <row r="257" spans="1:20" x14ac:dyDescent="0.25">
      <c r="A257" t="s">
        <v>41</v>
      </c>
      <c r="B257">
        <v>173</v>
      </c>
      <c r="C257">
        <v>510</v>
      </c>
      <c r="D257" t="s">
        <v>29</v>
      </c>
      <c r="E257" t="s">
        <v>30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18.010000000000002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 x14ac:dyDescent="0.25">
      <c r="A258" t="s">
        <v>63</v>
      </c>
      <c r="B258">
        <v>128</v>
      </c>
      <c r="C258">
        <v>510</v>
      </c>
      <c r="D258" t="s">
        <v>30</v>
      </c>
      <c r="E258" t="s">
        <v>30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 x14ac:dyDescent="0.25">
      <c r="A259" t="s">
        <v>35</v>
      </c>
      <c r="B259">
        <v>86</v>
      </c>
      <c r="C259">
        <v>510</v>
      </c>
      <c r="D259" t="s">
        <v>29</v>
      </c>
      <c r="E259" t="s">
        <v>29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287.39999999999998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 x14ac:dyDescent="0.25">
      <c r="A260" t="s">
        <v>49</v>
      </c>
      <c r="B260">
        <v>114</v>
      </c>
      <c r="C260">
        <v>415</v>
      </c>
      <c r="D260" t="s">
        <v>29</v>
      </c>
      <c r="E260" t="s">
        <v>30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 x14ac:dyDescent="0.25">
      <c r="A261" t="s">
        <v>43</v>
      </c>
      <c r="B261">
        <v>104</v>
      </c>
      <c r="C261">
        <v>408</v>
      </c>
      <c r="D261" t="s">
        <v>29</v>
      </c>
      <c r="E261" t="s">
        <v>29</v>
      </c>
      <c r="F261">
        <v>0</v>
      </c>
      <c r="G261">
        <v>138.69999999999999</v>
      </c>
      <c r="H261">
        <v>107</v>
      </c>
      <c r="I261">
        <v>23.58</v>
      </c>
      <c r="J261">
        <v>256.89999999999998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 x14ac:dyDescent="0.25">
      <c r="A262" t="s">
        <v>58</v>
      </c>
      <c r="B262">
        <v>148</v>
      </c>
      <c r="C262">
        <v>415</v>
      </c>
      <c r="D262" t="s">
        <v>29</v>
      </c>
      <c r="E262" t="s">
        <v>29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 x14ac:dyDescent="0.25">
      <c r="A263" t="s">
        <v>43</v>
      </c>
      <c r="B263">
        <v>129</v>
      </c>
      <c r="C263">
        <v>408</v>
      </c>
      <c r="D263" t="s">
        <v>29</v>
      </c>
      <c r="E263" t="s">
        <v>29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 x14ac:dyDescent="0.25">
      <c r="A264" t="s">
        <v>72</v>
      </c>
      <c r="B264">
        <v>100</v>
      </c>
      <c r="C264">
        <v>510</v>
      </c>
      <c r="D264" t="s">
        <v>29</v>
      </c>
      <c r="E264" t="s">
        <v>30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152.30000000000001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 x14ac:dyDescent="0.25">
      <c r="A265" t="s">
        <v>53</v>
      </c>
      <c r="B265">
        <v>143</v>
      </c>
      <c r="C265">
        <v>408</v>
      </c>
      <c r="D265" t="s">
        <v>29</v>
      </c>
      <c r="E265" t="s">
        <v>30</v>
      </c>
      <c r="F265">
        <v>33</v>
      </c>
      <c r="G265">
        <v>239.2</v>
      </c>
      <c r="H265">
        <v>109</v>
      </c>
      <c r="I265">
        <v>40.659999999999997</v>
      </c>
      <c r="J265">
        <v>235.5</v>
      </c>
      <c r="K265">
        <v>112</v>
      </c>
      <c r="L265">
        <v>20.02</v>
      </c>
      <c r="M265">
        <v>156.30000000000001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 x14ac:dyDescent="0.25">
      <c r="A266" t="s">
        <v>39</v>
      </c>
      <c r="B266">
        <v>76</v>
      </c>
      <c r="C266">
        <v>510</v>
      </c>
      <c r="D266" t="s">
        <v>29</v>
      </c>
      <c r="E266" t="s">
        <v>29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 x14ac:dyDescent="0.25">
      <c r="A267" t="s">
        <v>47</v>
      </c>
      <c r="B267">
        <v>158</v>
      </c>
      <c r="C267">
        <v>510</v>
      </c>
      <c r="D267" t="s">
        <v>29</v>
      </c>
      <c r="E267" t="s">
        <v>29</v>
      </c>
      <c r="F267">
        <v>0</v>
      </c>
      <c r="G267">
        <v>205.2</v>
      </c>
      <c r="H267">
        <v>97</v>
      </c>
      <c r="I267">
        <v>34.880000000000003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 x14ac:dyDescent="0.25">
      <c r="A268" t="s">
        <v>45</v>
      </c>
      <c r="B268">
        <v>116</v>
      </c>
      <c r="C268">
        <v>510</v>
      </c>
      <c r="D268" t="s">
        <v>29</v>
      </c>
      <c r="E268" t="s">
        <v>29</v>
      </c>
      <c r="F268">
        <v>0</v>
      </c>
      <c r="G268">
        <v>192.1</v>
      </c>
      <c r="H268">
        <v>98</v>
      </c>
      <c r="I268">
        <v>32.659999999999997</v>
      </c>
      <c r="J268">
        <v>312.89999999999998</v>
      </c>
      <c r="K268">
        <v>135</v>
      </c>
      <c r="L268">
        <v>26.6</v>
      </c>
      <c r="M268">
        <v>130.19999999999999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 x14ac:dyDescent="0.25">
      <c r="A269" t="s">
        <v>40</v>
      </c>
      <c r="B269">
        <v>54</v>
      </c>
      <c r="C269">
        <v>415</v>
      </c>
      <c r="D269" t="s">
        <v>29</v>
      </c>
      <c r="E269" t="s">
        <v>29</v>
      </c>
      <c r="F269">
        <v>0</v>
      </c>
      <c r="G269">
        <v>272.60000000000002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8.8800000000000008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 x14ac:dyDescent="0.25">
      <c r="A270" t="s">
        <v>34</v>
      </c>
      <c r="B270">
        <v>86</v>
      </c>
      <c r="C270">
        <v>415</v>
      </c>
      <c r="D270" t="s">
        <v>29</v>
      </c>
      <c r="E270" t="s">
        <v>29</v>
      </c>
      <c r="F270">
        <v>0</v>
      </c>
      <c r="G270">
        <v>128.30000000000001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 x14ac:dyDescent="0.25">
      <c r="A271" t="s">
        <v>59</v>
      </c>
      <c r="B271">
        <v>108</v>
      </c>
      <c r="C271">
        <v>510</v>
      </c>
      <c r="D271" t="s">
        <v>29</v>
      </c>
      <c r="E271" t="s">
        <v>29</v>
      </c>
      <c r="F271">
        <v>0</v>
      </c>
      <c r="G271">
        <v>169.6</v>
      </c>
      <c r="H271">
        <v>99</v>
      </c>
      <c r="I271">
        <v>28.83</v>
      </c>
      <c r="J271">
        <v>264.10000000000002</v>
      </c>
      <c r="K271">
        <v>87</v>
      </c>
      <c r="L271">
        <v>22.45</v>
      </c>
      <c r="M271">
        <v>206.3</v>
      </c>
      <c r="N271">
        <v>78</v>
      </c>
      <c r="O271">
        <v>9.2799999999999994</v>
      </c>
      <c r="P271">
        <v>9.3000000000000007</v>
      </c>
      <c r="Q271">
        <v>4</v>
      </c>
      <c r="R271">
        <v>2.5099999999999998</v>
      </c>
      <c r="S271">
        <v>0</v>
      </c>
      <c r="T271" t="b">
        <v>0</v>
      </c>
    </row>
    <row r="272" spans="1:20" x14ac:dyDescent="0.25">
      <c r="A272" t="s">
        <v>40</v>
      </c>
      <c r="B272">
        <v>66</v>
      </c>
      <c r="C272">
        <v>510</v>
      </c>
      <c r="D272" t="s">
        <v>29</v>
      </c>
      <c r="E272" t="s">
        <v>29</v>
      </c>
      <c r="F272">
        <v>0</v>
      </c>
      <c r="G272">
        <v>201.3</v>
      </c>
      <c r="H272">
        <v>95</v>
      </c>
      <c r="I272">
        <v>34.22</v>
      </c>
      <c r="J272">
        <v>152.80000000000001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2.0299999999999998</v>
      </c>
      <c r="S272">
        <v>1</v>
      </c>
      <c r="T272" t="b">
        <v>0</v>
      </c>
    </row>
    <row r="273" spans="1:20" x14ac:dyDescent="0.25">
      <c r="A273" t="s">
        <v>71</v>
      </c>
      <c r="B273">
        <v>151</v>
      </c>
      <c r="C273">
        <v>408</v>
      </c>
      <c r="D273" t="s">
        <v>29</v>
      </c>
      <c r="E273" t="s">
        <v>30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2.3199999999999998</v>
      </c>
      <c r="S273">
        <v>1</v>
      </c>
      <c r="T273" t="b">
        <v>0</v>
      </c>
    </row>
    <row r="274" spans="1:20" x14ac:dyDescent="0.25">
      <c r="A274" t="s">
        <v>75</v>
      </c>
      <c r="B274">
        <v>99</v>
      </c>
      <c r="C274">
        <v>510</v>
      </c>
      <c r="D274" t="s">
        <v>29</v>
      </c>
      <c r="E274" t="s">
        <v>29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 x14ac:dyDescent="0.25">
      <c r="A275" t="s">
        <v>65</v>
      </c>
      <c r="B275">
        <v>55</v>
      </c>
      <c r="C275">
        <v>415</v>
      </c>
      <c r="D275" t="s">
        <v>29</v>
      </c>
      <c r="E275" t="s">
        <v>29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 x14ac:dyDescent="0.25">
      <c r="A276" t="s">
        <v>54</v>
      </c>
      <c r="B276">
        <v>78</v>
      </c>
      <c r="C276">
        <v>408</v>
      </c>
      <c r="D276" t="s">
        <v>29</v>
      </c>
      <c r="E276" t="s">
        <v>29</v>
      </c>
      <c r="F276">
        <v>0</v>
      </c>
      <c r="G276">
        <v>225.1</v>
      </c>
      <c r="H276">
        <v>67</v>
      </c>
      <c r="I276">
        <v>38.270000000000003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 x14ac:dyDescent="0.25">
      <c r="A277" t="s">
        <v>53</v>
      </c>
      <c r="B277">
        <v>89</v>
      </c>
      <c r="C277">
        <v>415</v>
      </c>
      <c r="D277" t="s">
        <v>29</v>
      </c>
      <c r="E277" t="s">
        <v>29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262.60000000000002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 x14ac:dyDescent="0.25">
      <c r="A278" t="s">
        <v>66</v>
      </c>
      <c r="B278">
        <v>101</v>
      </c>
      <c r="C278">
        <v>415</v>
      </c>
      <c r="D278" t="s">
        <v>29</v>
      </c>
      <c r="E278" t="s">
        <v>29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 x14ac:dyDescent="0.25">
      <c r="A279" t="s">
        <v>50</v>
      </c>
      <c r="B279">
        <v>44</v>
      </c>
      <c r="C279">
        <v>415</v>
      </c>
      <c r="D279" t="s">
        <v>29</v>
      </c>
      <c r="E279" t="s">
        <v>30</v>
      </c>
      <c r="F279">
        <v>34</v>
      </c>
      <c r="G279">
        <v>221.8</v>
      </c>
      <c r="H279">
        <v>105</v>
      </c>
      <c r="I279">
        <v>37.71</v>
      </c>
      <c r="J279">
        <v>161.69999999999999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 x14ac:dyDescent="0.25">
      <c r="A280" t="s">
        <v>60</v>
      </c>
      <c r="B280">
        <v>98</v>
      </c>
      <c r="C280">
        <v>408</v>
      </c>
      <c r="D280" t="s">
        <v>29</v>
      </c>
      <c r="E280" t="s">
        <v>30</v>
      </c>
      <c r="F280">
        <v>21</v>
      </c>
      <c r="G280">
        <v>64.599999999999994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 x14ac:dyDescent="0.25">
      <c r="A281" t="s">
        <v>75</v>
      </c>
      <c r="B281">
        <v>64</v>
      </c>
      <c r="C281">
        <v>510</v>
      </c>
      <c r="D281" t="s">
        <v>29</v>
      </c>
      <c r="E281" t="s">
        <v>30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 x14ac:dyDescent="0.25">
      <c r="A282" t="s">
        <v>43</v>
      </c>
      <c r="B282">
        <v>141</v>
      </c>
      <c r="C282">
        <v>415</v>
      </c>
      <c r="D282" t="s">
        <v>29</v>
      </c>
      <c r="E282" t="s">
        <v>29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 x14ac:dyDescent="0.25">
      <c r="A283" t="s">
        <v>57</v>
      </c>
      <c r="B283">
        <v>81</v>
      </c>
      <c r="C283">
        <v>415</v>
      </c>
      <c r="D283" t="s">
        <v>29</v>
      </c>
      <c r="E283" t="s">
        <v>30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 x14ac:dyDescent="0.25">
      <c r="A284" t="s">
        <v>42</v>
      </c>
      <c r="B284">
        <v>162</v>
      </c>
      <c r="C284">
        <v>510</v>
      </c>
      <c r="D284" t="s">
        <v>29</v>
      </c>
      <c r="E284" t="s">
        <v>29</v>
      </c>
      <c r="F284">
        <v>0</v>
      </c>
      <c r="G284">
        <v>220.6</v>
      </c>
      <c r="H284">
        <v>117</v>
      </c>
      <c r="I284">
        <v>37.5</v>
      </c>
      <c r="J284">
        <v>155.19999999999999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 x14ac:dyDescent="0.25">
      <c r="A285" t="s">
        <v>47</v>
      </c>
      <c r="B285">
        <v>83</v>
      </c>
      <c r="C285">
        <v>415</v>
      </c>
      <c r="D285" t="s">
        <v>29</v>
      </c>
      <c r="E285" t="s">
        <v>30</v>
      </c>
      <c r="F285">
        <v>41</v>
      </c>
      <c r="G285">
        <v>155.9</v>
      </c>
      <c r="H285">
        <v>122</v>
      </c>
      <c r="I285">
        <v>26.5</v>
      </c>
      <c r="J285">
        <v>162.30000000000001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 x14ac:dyDescent="0.25">
      <c r="A286" t="s">
        <v>45</v>
      </c>
      <c r="B286">
        <v>100</v>
      </c>
      <c r="C286">
        <v>510</v>
      </c>
      <c r="D286" t="s">
        <v>29</v>
      </c>
      <c r="E286" t="s">
        <v>29</v>
      </c>
      <c r="F286">
        <v>0</v>
      </c>
      <c r="G286">
        <v>107</v>
      </c>
      <c r="H286">
        <v>63</v>
      </c>
      <c r="I286">
        <v>18.190000000000001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 x14ac:dyDescent="0.25">
      <c r="A287" t="s">
        <v>54</v>
      </c>
      <c r="B287">
        <v>59</v>
      </c>
      <c r="C287">
        <v>510</v>
      </c>
      <c r="D287" t="s">
        <v>29</v>
      </c>
      <c r="E287" t="s">
        <v>29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17.399999999999999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 x14ac:dyDescent="0.25">
      <c r="A288" t="s">
        <v>56</v>
      </c>
      <c r="B288">
        <v>179</v>
      </c>
      <c r="C288">
        <v>415</v>
      </c>
      <c r="D288" t="s">
        <v>30</v>
      </c>
      <c r="E288" t="s">
        <v>30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19.920000000000002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 x14ac:dyDescent="0.25">
      <c r="A289" t="s">
        <v>56</v>
      </c>
      <c r="B289">
        <v>79</v>
      </c>
      <c r="C289">
        <v>408</v>
      </c>
      <c r="D289" t="s">
        <v>29</v>
      </c>
      <c r="E289" t="s">
        <v>29</v>
      </c>
      <c r="F289">
        <v>0</v>
      </c>
      <c r="G289">
        <v>152.19999999999999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 x14ac:dyDescent="0.25">
      <c r="A290" t="s">
        <v>54</v>
      </c>
      <c r="B290">
        <v>117</v>
      </c>
      <c r="C290">
        <v>415</v>
      </c>
      <c r="D290" t="s">
        <v>29</v>
      </c>
      <c r="E290" t="s">
        <v>29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 x14ac:dyDescent="0.25">
      <c r="A291" t="s">
        <v>72</v>
      </c>
      <c r="B291">
        <v>31</v>
      </c>
      <c r="C291">
        <v>415</v>
      </c>
      <c r="D291" t="s">
        <v>29</v>
      </c>
      <c r="E291" t="s">
        <v>29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9.6199999999999992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 x14ac:dyDescent="0.25">
      <c r="A292" t="s">
        <v>67</v>
      </c>
      <c r="B292">
        <v>122</v>
      </c>
      <c r="C292">
        <v>408</v>
      </c>
      <c r="D292" t="s">
        <v>29</v>
      </c>
      <c r="E292" t="s">
        <v>30</v>
      </c>
      <c r="F292">
        <v>23</v>
      </c>
      <c r="G292">
        <v>134.19999999999999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2.2999999999999998</v>
      </c>
      <c r="S292">
        <v>2</v>
      </c>
      <c r="T292" t="b">
        <v>0</v>
      </c>
    </row>
    <row r="293" spans="1:20" x14ac:dyDescent="0.25">
      <c r="A293" t="s">
        <v>48</v>
      </c>
      <c r="B293">
        <v>37</v>
      </c>
      <c r="C293">
        <v>408</v>
      </c>
      <c r="D293" t="s">
        <v>30</v>
      </c>
      <c r="E293" t="s">
        <v>30</v>
      </c>
      <c r="F293">
        <v>39</v>
      </c>
      <c r="G293">
        <v>149.69999999999999</v>
      </c>
      <c r="H293">
        <v>122</v>
      </c>
      <c r="I293">
        <v>25.45</v>
      </c>
      <c r="J293">
        <v>211.1</v>
      </c>
      <c r="K293">
        <v>75</v>
      </c>
      <c r="L293">
        <v>17.940000000000001</v>
      </c>
      <c r="M293">
        <v>114.3</v>
      </c>
      <c r="N293">
        <v>90</v>
      </c>
      <c r="O293">
        <v>5.14</v>
      </c>
      <c r="P293">
        <v>9.1999999999999993</v>
      </c>
      <c r="Q293">
        <v>4</v>
      </c>
      <c r="R293">
        <v>2.48</v>
      </c>
      <c r="S293">
        <v>1</v>
      </c>
      <c r="T293" t="b">
        <v>0</v>
      </c>
    </row>
    <row r="294" spans="1:20" x14ac:dyDescent="0.25">
      <c r="A294" t="s">
        <v>75</v>
      </c>
      <c r="B294">
        <v>90</v>
      </c>
      <c r="C294">
        <v>408</v>
      </c>
      <c r="D294" t="s">
        <v>29</v>
      </c>
      <c r="E294" t="s">
        <v>30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8.0299999999999994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 x14ac:dyDescent="0.25">
      <c r="A295" t="s">
        <v>46</v>
      </c>
      <c r="B295">
        <v>159</v>
      </c>
      <c r="C295">
        <v>408</v>
      </c>
      <c r="D295" t="s">
        <v>30</v>
      </c>
      <c r="E295" t="s">
        <v>29</v>
      </c>
      <c r="F295">
        <v>0</v>
      </c>
      <c r="G295">
        <v>257.10000000000002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8.8000000000000007</v>
      </c>
      <c r="Q295">
        <v>6</v>
      </c>
      <c r="R295">
        <v>2.38</v>
      </c>
      <c r="S295">
        <v>1</v>
      </c>
      <c r="T295" t="b">
        <v>1</v>
      </c>
    </row>
    <row r="296" spans="1:20" x14ac:dyDescent="0.25">
      <c r="A296" t="s">
        <v>31</v>
      </c>
      <c r="B296">
        <v>39</v>
      </c>
      <c r="C296">
        <v>415</v>
      </c>
      <c r="D296" t="s">
        <v>29</v>
      </c>
      <c r="E296" t="s">
        <v>30</v>
      </c>
      <c r="F296">
        <v>36</v>
      </c>
      <c r="G296">
        <v>141.69999999999999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 x14ac:dyDescent="0.25">
      <c r="A297" t="s">
        <v>33</v>
      </c>
      <c r="B297">
        <v>194</v>
      </c>
      <c r="C297">
        <v>408</v>
      </c>
      <c r="D297" t="s">
        <v>29</v>
      </c>
      <c r="E297" t="s">
        <v>29</v>
      </c>
      <c r="F297">
        <v>0</v>
      </c>
      <c r="G297">
        <v>162.30000000000001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 x14ac:dyDescent="0.25">
      <c r="A298" t="s">
        <v>46</v>
      </c>
      <c r="B298">
        <v>154</v>
      </c>
      <c r="C298">
        <v>415</v>
      </c>
      <c r="D298" t="s">
        <v>29</v>
      </c>
      <c r="E298" t="s">
        <v>29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18.399999999999999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 x14ac:dyDescent="0.25">
      <c r="A299" t="s">
        <v>64</v>
      </c>
      <c r="B299">
        <v>112</v>
      </c>
      <c r="C299">
        <v>415</v>
      </c>
      <c r="D299" t="s">
        <v>29</v>
      </c>
      <c r="E299" t="s">
        <v>29</v>
      </c>
      <c r="F299">
        <v>0</v>
      </c>
      <c r="G299">
        <v>193.3</v>
      </c>
      <c r="H299">
        <v>96</v>
      </c>
      <c r="I299">
        <v>32.86</v>
      </c>
      <c r="J299">
        <v>264.10000000000002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 x14ac:dyDescent="0.25">
      <c r="A300" t="s">
        <v>55</v>
      </c>
      <c r="B300">
        <v>45</v>
      </c>
      <c r="C300">
        <v>415</v>
      </c>
      <c r="D300" t="s">
        <v>29</v>
      </c>
      <c r="E300" t="s">
        <v>29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4.8600000000000003</v>
      </c>
      <c r="S300">
        <v>1</v>
      </c>
      <c r="T300" t="b">
        <v>0</v>
      </c>
    </row>
    <row r="301" spans="1:20" x14ac:dyDescent="0.25">
      <c r="A301" t="s">
        <v>28</v>
      </c>
      <c r="B301">
        <v>132</v>
      </c>
      <c r="C301">
        <v>415</v>
      </c>
      <c r="D301" t="s">
        <v>29</v>
      </c>
      <c r="E301" t="s">
        <v>29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19.739999999999998</v>
      </c>
      <c r="M301">
        <v>146.69999999999999</v>
      </c>
      <c r="N301">
        <v>114</v>
      </c>
      <c r="O301">
        <v>6.6</v>
      </c>
      <c r="P301">
        <v>7.6</v>
      </c>
      <c r="Q301">
        <v>5</v>
      </c>
      <c r="R301">
        <v>2.0499999999999998</v>
      </c>
      <c r="S301">
        <v>1</v>
      </c>
      <c r="T301" t="b">
        <v>0</v>
      </c>
    </row>
    <row r="302" spans="1:20" x14ac:dyDescent="0.25">
      <c r="A302" t="s">
        <v>35</v>
      </c>
      <c r="B302">
        <v>128</v>
      </c>
      <c r="C302">
        <v>415</v>
      </c>
      <c r="D302" t="s">
        <v>29</v>
      </c>
      <c r="E302" t="s">
        <v>29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 x14ac:dyDescent="0.25">
      <c r="A303" t="s">
        <v>67</v>
      </c>
      <c r="B303">
        <v>56</v>
      </c>
      <c r="C303">
        <v>408</v>
      </c>
      <c r="D303" t="s">
        <v>29</v>
      </c>
      <c r="E303" t="s">
        <v>29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18.940000000000001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 x14ac:dyDescent="0.25">
      <c r="A304" t="s">
        <v>62</v>
      </c>
      <c r="B304">
        <v>151</v>
      </c>
      <c r="C304">
        <v>415</v>
      </c>
      <c r="D304" t="s">
        <v>30</v>
      </c>
      <c r="E304" t="s">
        <v>29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9.7200000000000006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 x14ac:dyDescent="0.25">
      <c r="A305" t="s">
        <v>70</v>
      </c>
      <c r="B305">
        <v>32</v>
      </c>
      <c r="C305">
        <v>415</v>
      </c>
      <c r="D305" t="s">
        <v>29</v>
      </c>
      <c r="E305" t="s">
        <v>29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 x14ac:dyDescent="0.25">
      <c r="A306" t="s">
        <v>47</v>
      </c>
      <c r="B306">
        <v>90</v>
      </c>
      <c r="C306">
        <v>415</v>
      </c>
      <c r="D306" t="s">
        <v>29</v>
      </c>
      <c r="E306" t="s">
        <v>29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276.89999999999998</v>
      </c>
      <c r="N306">
        <v>58</v>
      </c>
      <c r="O306">
        <v>12.46</v>
      </c>
      <c r="P306">
        <v>9.1999999999999993</v>
      </c>
      <c r="Q306">
        <v>6</v>
      </c>
      <c r="R306">
        <v>2.48</v>
      </c>
      <c r="S306">
        <v>2</v>
      </c>
      <c r="T306" t="b">
        <v>0</v>
      </c>
    </row>
    <row r="307" spans="1:20" x14ac:dyDescent="0.25">
      <c r="A307" t="s">
        <v>69</v>
      </c>
      <c r="B307">
        <v>138</v>
      </c>
      <c r="C307">
        <v>415</v>
      </c>
      <c r="D307" t="s">
        <v>29</v>
      </c>
      <c r="E307" t="s">
        <v>29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10.050000000000001</v>
      </c>
      <c r="M307">
        <v>187.9</v>
      </c>
      <c r="N307">
        <v>111</v>
      </c>
      <c r="O307">
        <v>8.4600000000000009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 x14ac:dyDescent="0.25">
      <c r="A308" t="s">
        <v>79</v>
      </c>
      <c r="B308">
        <v>79</v>
      </c>
      <c r="C308">
        <v>408</v>
      </c>
      <c r="D308" t="s">
        <v>29</v>
      </c>
      <c r="E308" t="s">
        <v>29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 x14ac:dyDescent="0.25">
      <c r="A309" t="s">
        <v>36</v>
      </c>
      <c r="B309">
        <v>95</v>
      </c>
      <c r="C309">
        <v>415</v>
      </c>
      <c r="D309" t="s">
        <v>30</v>
      </c>
      <c r="E309" t="s">
        <v>29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8.9499999999999993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 x14ac:dyDescent="0.25">
      <c r="A310" t="s">
        <v>28</v>
      </c>
      <c r="B310">
        <v>127</v>
      </c>
      <c r="C310">
        <v>415</v>
      </c>
      <c r="D310" t="s">
        <v>29</v>
      </c>
      <c r="E310" t="s">
        <v>29</v>
      </c>
      <c r="F310">
        <v>0</v>
      </c>
      <c r="G310">
        <v>221</v>
      </c>
      <c r="H310">
        <v>100</v>
      </c>
      <c r="I310">
        <v>37.57</v>
      </c>
      <c r="J310">
        <v>160.69999999999999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 x14ac:dyDescent="0.25">
      <c r="A311" t="s">
        <v>63</v>
      </c>
      <c r="B311">
        <v>137</v>
      </c>
      <c r="C311">
        <v>510</v>
      </c>
      <c r="D311" t="s">
        <v>29</v>
      </c>
      <c r="E311" t="s">
        <v>29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16.239999999999998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 x14ac:dyDescent="0.25">
      <c r="A312" t="s">
        <v>33</v>
      </c>
      <c r="B312">
        <v>97</v>
      </c>
      <c r="C312">
        <v>415</v>
      </c>
      <c r="D312" t="s">
        <v>29</v>
      </c>
      <c r="E312" t="s">
        <v>29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 x14ac:dyDescent="0.25">
      <c r="A313" t="s">
        <v>58</v>
      </c>
      <c r="B313">
        <v>149</v>
      </c>
      <c r="C313">
        <v>415</v>
      </c>
      <c r="D313" t="s">
        <v>30</v>
      </c>
      <c r="E313" t="s">
        <v>29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 x14ac:dyDescent="0.25">
      <c r="A314" t="s">
        <v>60</v>
      </c>
      <c r="B314">
        <v>117</v>
      </c>
      <c r="C314">
        <v>415</v>
      </c>
      <c r="D314" t="s">
        <v>30</v>
      </c>
      <c r="E314" t="s">
        <v>30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 x14ac:dyDescent="0.25">
      <c r="A315" t="s">
        <v>31</v>
      </c>
      <c r="B315">
        <v>84</v>
      </c>
      <c r="C315">
        <v>408</v>
      </c>
      <c r="D315" t="s">
        <v>29</v>
      </c>
      <c r="E315" t="s">
        <v>29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8.4600000000000009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 x14ac:dyDescent="0.25">
      <c r="A316" t="s">
        <v>28</v>
      </c>
      <c r="B316">
        <v>137</v>
      </c>
      <c r="C316">
        <v>415</v>
      </c>
      <c r="D316" t="s">
        <v>29</v>
      </c>
      <c r="E316" t="s">
        <v>29</v>
      </c>
      <c r="F316">
        <v>0</v>
      </c>
      <c r="G316">
        <v>230.2</v>
      </c>
      <c r="H316">
        <v>113</v>
      </c>
      <c r="I316">
        <v>39.130000000000003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9.2100000000000009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 x14ac:dyDescent="0.25">
      <c r="A317" t="s">
        <v>80</v>
      </c>
      <c r="B317">
        <v>99</v>
      </c>
      <c r="C317">
        <v>415</v>
      </c>
      <c r="D317" t="s">
        <v>29</v>
      </c>
      <c r="E317" t="s">
        <v>29</v>
      </c>
      <c r="F317">
        <v>0</v>
      </c>
      <c r="G317">
        <v>146.69999999999999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 x14ac:dyDescent="0.25">
      <c r="A318" t="s">
        <v>57</v>
      </c>
      <c r="B318">
        <v>85</v>
      </c>
      <c r="C318">
        <v>415</v>
      </c>
      <c r="D318" t="s">
        <v>29</v>
      </c>
      <c r="E318" t="s">
        <v>29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148.19999999999999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 x14ac:dyDescent="0.25">
      <c r="A319" t="s">
        <v>73</v>
      </c>
      <c r="B319">
        <v>150</v>
      </c>
      <c r="C319">
        <v>510</v>
      </c>
      <c r="D319" t="s">
        <v>29</v>
      </c>
      <c r="E319" t="s">
        <v>29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285.10000000000002</v>
      </c>
      <c r="N319">
        <v>100</v>
      </c>
      <c r="O319">
        <v>12.83</v>
      </c>
      <c r="P319">
        <v>10.199999999999999</v>
      </c>
      <c r="Q319">
        <v>6</v>
      </c>
      <c r="R319">
        <v>2.75</v>
      </c>
      <c r="S319">
        <v>3</v>
      </c>
      <c r="T319" t="b">
        <v>0</v>
      </c>
    </row>
    <row r="320" spans="1:20" x14ac:dyDescent="0.25">
      <c r="A320" t="s">
        <v>37</v>
      </c>
      <c r="B320">
        <v>43</v>
      </c>
      <c r="C320">
        <v>415</v>
      </c>
      <c r="D320" t="s">
        <v>29</v>
      </c>
      <c r="E320" t="s">
        <v>29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 x14ac:dyDescent="0.25">
      <c r="A321" t="s">
        <v>55</v>
      </c>
      <c r="B321">
        <v>98</v>
      </c>
      <c r="C321">
        <v>415</v>
      </c>
      <c r="D321" t="s">
        <v>29</v>
      </c>
      <c r="E321" t="s">
        <v>29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 x14ac:dyDescent="0.25">
      <c r="A322" t="s">
        <v>77</v>
      </c>
      <c r="B322">
        <v>112</v>
      </c>
      <c r="C322">
        <v>510</v>
      </c>
      <c r="D322" t="s">
        <v>29</v>
      </c>
      <c r="E322" t="s">
        <v>29</v>
      </c>
      <c r="F322">
        <v>0</v>
      </c>
      <c r="G322">
        <v>217.1</v>
      </c>
      <c r="H322">
        <v>76</v>
      </c>
      <c r="I322">
        <v>36.909999999999997</v>
      </c>
      <c r="J322">
        <v>205.2</v>
      </c>
      <c r="K322">
        <v>100</v>
      </c>
      <c r="L322">
        <v>17.440000000000001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 x14ac:dyDescent="0.25">
      <c r="A323" t="s">
        <v>57</v>
      </c>
      <c r="B323">
        <v>16</v>
      </c>
      <c r="C323">
        <v>510</v>
      </c>
      <c r="D323" t="s">
        <v>29</v>
      </c>
      <c r="E323" t="s">
        <v>29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 x14ac:dyDescent="0.25">
      <c r="A324" t="s">
        <v>76</v>
      </c>
      <c r="B324">
        <v>98</v>
      </c>
      <c r="C324">
        <v>415</v>
      </c>
      <c r="D324" t="s">
        <v>29</v>
      </c>
      <c r="E324" t="s">
        <v>30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9.6999999999999993</v>
      </c>
      <c r="Q324">
        <v>5</v>
      </c>
      <c r="R324">
        <v>2.62</v>
      </c>
      <c r="S324">
        <v>0</v>
      </c>
      <c r="T324" t="b">
        <v>0</v>
      </c>
    </row>
    <row r="325" spans="1:20" x14ac:dyDescent="0.25">
      <c r="A325" t="s">
        <v>50</v>
      </c>
      <c r="B325">
        <v>84</v>
      </c>
      <c r="C325">
        <v>510</v>
      </c>
      <c r="D325" t="s">
        <v>29</v>
      </c>
      <c r="E325" t="s">
        <v>29</v>
      </c>
      <c r="F325">
        <v>0</v>
      </c>
      <c r="G325">
        <v>181.5</v>
      </c>
      <c r="H325">
        <v>129</v>
      </c>
      <c r="I325">
        <v>30.86</v>
      </c>
      <c r="J325">
        <v>130.69999999999999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2.2999999999999998</v>
      </c>
      <c r="S325">
        <v>1</v>
      </c>
      <c r="T325" t="b">
        <v>0</v>
      </c>
    </row>
    <row r="326" spans="1:20" x14ac:dyDescent="0.25">
      <c r="A326" t="s">
        <v>69</v>
      </c>
      <c r="B326">
        <v>66</v>
      </c>
      <c r="C326">
        <v>415</v>
      </c>
      <c r="D326" t="s">
        <v>29</v>
      </c>
      <c r="E326" t="s">
        <v>29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8.6300000000000008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 x14ac:dyDescent="0.25">
      <c r="A327" t="s">
        <v>53</v>
      </c>
      <c r="B327">
        <v>98</v>
      </c>
      <c r="C327">
        <v>415</v>
      </c>
      <c r="D327" t="s">
        <v>29</v>
      </c>
      <c r="E327" t="s">
        <v>30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10.199999999999999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 x14ac:dyDescent="0.25">
      <c r="A328" t="s">
        <v>41</v>
      </c>
      <c r="B328">
        <v>74</v>
      </c>
      <c r="C328">
        <v>415</v>
      </c>
      <c r="D328" t="s">
        <v>29</v>
      </c>
      <c r="E328" t="s">
        <v>29</v>
      </c>
      <c r="F328">
        <v>0</v>
      </c>
      <c r="G328">
        <v>221.1</v>
      </c>
      <c r="H328">
        <v>124</v>
      </c>
      <c r="I328">
        <v>37.590000000000003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 x14ac:dyDescent="0.25">
      <c r="A329" t="s">
        <v>71</v>
      </c>
      <c r="B329">
        <v>119</v>
      </c>
      <c r="C329">
        <v>510</v>
      </c>
      <c r="D329" t="s">
        <v>29</v>
      </c>
      <c r="E329" t="s">
        <v>29</v>
      </c>
      <c r="F329">
        <v>0</v>
      </c>
      <c r="G329">
        <v>222.8</v>
      </c>
      <c r="H329">
        <v>122</v>
      </c>
      <c r="I329">
        <v>37.880000000000003</v>
      </c>
      <c r="J329">
        <v>163.19999999999999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 x14ac:dyDescent="0.25">
      <c r="A330" t="s">
        <v>31</v>
      </c>
      <c r="B330">
        <v>73</v>
      </c>
      <c r="C330">
        <v>415</v>
      </c>
      <c r="D330" t="s">
        <v>29</v>
      </c>
      <c r="E330" t="s">
        <v>29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2.0299999999999998</v>
      </c>
      <c r="S330">
        <v>4</v>
      </c>
      <c r="T330" t="b">
        <v>0</v>
      </c>
    </row>
    <row r="331" spans="1:20" x14ac:dyDescent="0.25">
      <c r="A331" t="s">
        <v>57</v>
      </c>
      <c r="B331">
        <v>92</v>
      </c>
      <c r="C331">
        <v>415</v>
      </c>
      <c r="D331" t="s">
        <v>30</v>
      </c>
      <c r="E331" t="s">
        <v>29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9.3000000000000007</v>
      </c>
      <c r="Q331">
        <v>5</v>
      </c>
      <c r="R331">
        <v>2.5099999999999998</v>
      </c>
      <c r="S331">
        <v>0</v>
      </c>
      <c r="T331" t="b">
        <v>0</v>
      </c>
    </row>
    <row r="332" spans="1:20" x14ac:dyDescent="0.25">
      <c r="A332" t="s">
        <v>50</v>
      </c>
      <c r="B332">
        <v>21</v>
      </c>
      <c r="C332">
        <v>415</v>
      </c>
      <c r="D332" t="s">
        <v>29</v>
      </c>
      <c r="E332" t="s">
        <v>29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 x14ac:dyDescent="0.25">
      <c r="A333" t="s">
        <v>59</v>
      </c>
      <c r="B333">
        <v>122</v>
      </c>
      <c r="C333">
        <v>510</v>
      </c>
      <c r="D333" t="s">
        <v>29</v>
      </c>
      <c r="E333" t="s">
        <v>29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8.8699999999999992</v>
      </c>
      <c r="P333">
        <v>8.5</v>
      </c>
      <c r="Q333">
        <v>5</v>
      </c>
      <c r="R333">
        <v>2.2999999999999998</v>
      </c>
      <c r="S333">
        <v>4</v>
      </c>
      <c r="T333" t="b">
        <v>1</v>
      </c>
    </row>
    <row r="334" spans="1:20" x14ac:dyDescent="0.25">
      <c r="A334" t="s">
        <v>38</v>
      </c>
      <c r="B334">
        <v>133</v>
      </c>
      <c r="C334">
        <v>510</v>
      </c>
      <c r="D334" t="s">
        <v>30</v>
      </c>
      <c r="E334" t="s">
        <v>29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 x14ac:dyDescent="0.25">
      <c r="A335" t="s">
        <v>44</v>
      </c>
      <c r="B335">
        <v>145</v>
      </c>
      <c r="C335">
        <v>415</v>
      </c>
      <c r="D335" t="s">
        <v>29</v>
      </c>
      <c r="E335" t="s">
        <v>29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 x14ac:dyDescent="0.25">
      <c r="A336" t="s">
        <v>58</v>
      </c>
      <c r="B336">
        <v>25</v>
      </c>
      <c r="C336">
        <v>408</v>
      </c>
      <c r="D336" t="s">
        <v>29</v>
      </c>
      <c r="E336" t="s">
        <v>29</v>
      </c>
      <c r="F336">
        <v>0</v>
      </c>
      <c r="G336">
        <v>178.8</v>
      </c>
      <c r="H336">
        <v>90</v>
      </c>
      <c r="I336">
        <v>30.4</v>
      </c>
      <c r="J336">
        <v>141.19999999999999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 x14ac:dyDescent="0.25">
      <c r="A337" t="s">
        <v>73</v>
      </c>
      <c r="B337">
        <v>126</v>
      </c>
      <c r="C337">
        <v>415</v>
      </c>
      <c r="D337" t="s">
        <v>29</v>
      </c>
      <c r="E337" t="s">
        <v>29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8.4700000000000006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 x14ac:dyDescent="0.25">
      <c r="A338" t="s">
        <v>58</v>
      </c>
      <c r="B338">
        <v>76</v>
      </c>
      <c r="C338">
        <v>415</v>
      </c>
      <c r="D338" t="s">
        <v>29</v>
      </c>
      <c r="E338" t="s">
        <v>29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9.8699999999999992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 x14ac:dyDescent="0.25">
      <c r="A339" t="s">
        <v>59</v>
      </c>
      <c r="B339">
        <v>113</v>
      </c>
      <c r="C339">
        <v>415</v>
      </c>
      <c r="D339" t="s">
        <v>29</v>
      </c>
      <c r="E339" t="s">
        <v>29</v>
      </c>
      <c r="F339">
        <v>0</v>
      </c>
      <c r="G339">
        <v>239.7</v>
      </c>
      <c r="H339">
        <v>47</v>
      </c>
      <c r="I339">
        <v>40.75</v>
      </c>
      <c r="J339">
        <v>282.89999999999998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8.6999999999999993</v>
      </c>
      <c r="Q339">
        <v>3</v>
      </c>
      <c r="R339">
        <v>2.35</v>
      </c>
      <c r="S339">
        <v>2</v>
      </c>
      <c r="T339" t="b">
        <v>1</v>
      </c>
    </row>
    <row r="340" spans="1:20" x14ac:dyDescent="0.25">
      <c r="A340" t="s">
        <v>59</v>
      </c>
      <c r="B340">
        <v>224</v>
      </c>
      <c r="C340">
        <v>510</v>
      </c>
      <c r="D340" t="s">
        <v>30</v>
      </c>
      <c r="E340" t="s">
        <v>29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 x14ac:dyDescent="0.25">
      <c r="A341" t="s">
        <v>63</v>
      </c>
      <c r="B341">
        <v>128</v>
      </c>
      <c r="C341">
        <v>408</v>
      </c>
      <c r="D341" t="s">
        <v>29</v>
      </c>
      <c r="E341" t="s">
        <v>30</v>
      </c>
      <c r="F341">
        <v>34</v>
      </c>
      <c r="G341">
        <v>142.30000000000001</v>
      </c>
      <c r="H341">
        <v>73</v>
      </c>
      <c r="I341">
        <v>24.19</v>
      </c>
      <c r="J341">
        <v>194.8</v>
      </c>
      <c r="K341">
        <v>79</v>
      </c>
      <c r="L341">
        <v>16.559999999999999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 x14ac:dyDescent="0.25">
      <c r="A342" t="s">
        <v>68</v>
      </c>
      <c r="B342">
        <v>115</v>
      </c>
      <c r="C342">
        <v>415</v>
      </c>
      <c r="D342" t="s">
        <v>29</v>
      </c>
      <c r="E342" t="s">
        <v>29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2.0299999999999998</v>
      </c>
      <c r="S342">
        <v>2</v>
      </c>
      <c r="T342" t="b">
        <v>0</v>
      </c>
    </row>
    <row r="343" spans="1:20" x14ac:dyDescent="0.25">
      <c r="A343" t="s">
        <v>67</v>
      </c>
      <c r="B343">
        <v>141</v>
      </c>
      <c r="C343">
        <v>415</v>
      </c>
      <c r="D343" t="s">
        <v>29</v>
      </c>
      <c r="E343" t="s">
        <v>30</v>
      </c>
      <c r="F343">
        <v>28</v>
      </c>
      <c r="G343">
        <v>206.9</v>
      </c>
      <c r="H343">
        <v>126</v>
      </c>
      <c r="I343">
        <v>35.17</v>
      </c>
      <c r="J343">
        <v>264.39999999999998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9.3000000000000007</v>
      </c>
      <c r="Q343">
        <v>11</v>
      </c>
      <c r="R343">
        <v>2.5099999999999998</v>
      </c>
      <c r="S343">
        <v>2</v>
      </c>
      <c r="T343" t="b">
        <v>0</v>
      </c>
    </row>
    <row r="344" spans="1:20" x14ac:dyDescent="0.25">
      <c r="A344" t="s">
        <v>66</v>
      </c>
      <c r="B344">
        <v>51</v>
      </c>
      <c r="C344">
        <v>510</v>
      </c>
      <c r="D344" t="s">
        <v>29</v>
      </c>
      <c r="E344" t="s">
        <v>29</v>
      </c>
      <c r="F344">
        <v>0</v>
      </c>
      <c r="G344">
        <v>259.89999999999998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 x14ac:dyDescent="0.25">
      <c r="A345" t="s">
        <v>32</v>
      </c>
      <c r="B345">
        <v>100</v>
      </c>
      <c r="C345">
        <v>415</v>
      </c>
      <c r="D345" t="s">
        <v>29</v>
      </c>
      <c r="E345" t="s">
        <v>29</v>
      </c>
      <c r="F345">
        <v>0</v>
      </c>
      <c r="G345">
        <v>203.8</v>
      </c>
      <c r="H345">
        <v>122</v>
      </c>
      <c r="I345">
        <v>34.65</v>
      </c>
      <c r="J345">
        <v>283.10000000000002</v>
      </c>
      <c r="K345">
        <v>76</v>
      </c>
      <c r="L345">
        <v>24.06</v>
      </c>
      <c r="M345">
        <v>197.3</v>
      </c>
      <c r="N345">
        <v>83</v>
      </c>
      <c r="O345">
        <v>8.8800000000000008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 x14ac:dyDescent="0.25">
      <c r="A346" t="s">
        <v>60</v>
      </c>
      <c r="B346">
        <v>96</v>
      </c>
      <c r="C346">
        <v>415</v>
      </c>
      <c r="D346" t="s">
        <v>29</v>
      </c>
      <c r="E346" t="s">
        <v>30</v>
      </c>
      <c r="F346">
        <v>45</v>
      </c>
      <c r="G346">
        <v>248.8</v>
      </c>
      <c r="H346">
        <v>124</v>
      </c>
      <c r="I346">
        <v>42.3</v>
      </c>
      <c r="J346">
        <v>140.30000000000001</v>
      </c>
      <c r="K346">
        <v>77</v>
      </c>
      <c r="L346">
        <v>11.93</v>
      </c>
      <c r="M346">
        <v>263.60000000000002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 x14ac:dyDescent="0.25">
      <c r="A347" t="s">
        <v>72</v>
      </c>
      <c r="B347">
        <v>163</v>
      </c>
      <c r="C347">
        <v>415</v>
      </c>
      <c r="D347" t="s">
        <v>29</v>
      </c>
      <c r="E347" t="s">
        <v>29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 x14ac:dyDescent="0.25">
      <c r="A348" t="s">
        <v>51</v>
      </c>
      <c r="B348">
        <v>67</v>
      </c>
      <c r="C348">
        <v>415</v>
      </c>
      <c r="D348" t="s">
        <v>29</v>
      </c>
      <c r="E348" t="s">
        <v>30</v>
      </c>
      <c r="F348">
        <v>40</v>
      </c>
      <c r="G348">
        <v>104.9</v>
      </c>
      <c r="H348">
        <v>65</v>
      </c>
      <c r="I348">
        <v>17.829999999999998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9.7799999999999994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 x14ac:dyDescent="0.25">
      <c r="A349" t="s">
        <v>58</v>
      </c>
      <c r="B349">
        <v>49</v>
      </c>
      <c r="C349">
        <v>510</v>
      </c>
      <c r="D349" t="s">
        <v>29</v>
      </c>
      <c r="E349" t="s">
        <v>29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 x14ac:dyDescent="0.25">
      <c r="A350" t="s">
        <v>28</v>
      </c>
      <c r="B350">
        <v>46</v>
      </c>
      <c r="C350">
        <v>510</v>
      </c>
      <c r="D350" t="s">
        <v>29</v>
      </c>
      <c r="E350" t="s">
        <v>29</v>
      </c>
      <c r="F350">
        <v>0</v>
      </c>
      <c r="G350">
        <v>250.3</v>
      </c>
      <c r="H350">
        <v>100</v>
      </c>
      <c r="I350">
        <v>42.55</v>
      </c>
      <c r="J350">
        <v>260.60000000000002</v>
      </c>
      <c r="K350">
        <v>90</v>
      </c>
      <c r="L350">
        <v>22.15</v>
      </c>
      <c r="M350">
        <v>195</v>
      </c>
      <c r="N350">
        <v>104</v>
      </c>
      <c r="O350">
        <v>8.7799999999999994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 x14ac:dyDescent="0.25">
      <c r="A351" t="s">
        <v>48</v>
      </c>
      <c r="B351">
        <v>148</v>
      </c>
      <c r="C351">
        <v>415</v>
      </c>
      <c r="D351" t="s">
        <v>29</v>
      </c>
      <c r="E351" t="s">
        <v>29</v>
      </c>
      <c r="F351">
        <v>0</v>
      </c>
      <c r="G351">
        <v>178.3</v>
      </c>
      <c r="H351">
        <v>98</v>
      </c>
      <c r="I351">
        <v>30.31</v>
      </c>
      <c r="J351">
        <v>282.60000000000002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 x14ac:dyDescent="0.25">
      <c r="A352" t="s">
        <v>74</v>
      </c>
      <c r="B352">
        <v>112</v>
      </c>
      <c r="C352">
        <v>510</v>
      </c>
      <c r="D352" t="s">
        <v>29</v>
      </c>
      <c r="E352" t="s">
        <v>29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 x14ac:dyDescent="0.25">
      <c r="A353" t="s">
        <v>75</v>
      </c>
      <c r="B353">
        <v>78</v>
      </c>
      <c r="C353">
        <v>415</v>
      </c>
      <c r="D353" t="s">
        <v>29</v>
      </c>
      <c r="E353" t="s">
        <v>29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 x14ac:dyDescent="0.25">
      <c r="A354" t="s">
        <v>77</v>
      </c>
      <c r="B354">
        <v>61</v>
      </c>
      <c r="C354">
        <v>408</v>
      </c>
      <c r="D354" t="s">
        <v>29</v>
      </c>
      <c r="E354" t="s">
        <v>30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2.3199999999999998</v>
      </c>
      <c r="S354">
        <v>0</v>
      </c>
      <c r="T354" t="b">
        <v>0</v>
      </c>
    </row>
    <row r="355" spans="1:20" x14ac:dyDescent="0.25">
      <c r="A355" t="s">
        <v>40</v>
      </c>
      <c r="B355">
        <v>58</v>
      </c>
      <c r="C355">
        <v>510</v>
      </c>
      <c r="D355" t="s">
        <v>29</v>
      </c>
      <c r="E355" t="s">
        <v>30</v>
      </c>
      <c r="F355">
        <v>29</v>
      </c>
      <c r="G355">
        <v>240.4</v>
      </c>
      <c r="H355">
        <v>80</v>
      </c>
      <c r="I355">
        <v>40.869999999999997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 x14ac:dyDescent="0.25">
      <c r="A356" t="s">
        <v>67</v>
      </c>
      <c r="B356">
        <v>155</v>
      </c>
      <c r="C356">
        <v>415</v>
      </c>
      <c r="D356" t="s">
        <v>29</v>
      </c>
      <c r="E356" t="s">
        <v>29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 x14ac:dyDescent="0.25">
      <c r="A357" t="s">
        <v>31</v>
      </c>
      <c r="B357">
        <v>100</v>
      </c>
      <c r="C357">
        <v>510</v>
      </c>
      <c r="D357" t="s">
        <v>29</v>
      </c>
      <c r="E357" t="s">
        <v>29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9.8800000000000008</v>
      </c>
      <c r="P357">
        <v>8.3000000000000007</v>
      </c>
      <c r="Q357">
        <v>4</v>
      </c>
      <c r="R357">
        <v>2.2400000000000002</v>
      </c>
      <c r="S357">
        <v>0</v>
      </c>
      <c r="T357" t="b">
        <v>1</v>
      </c>
    </row>
    <row r="358" spans="1:20" x14ac:dyDescent="0.25">
      <c r="A358" t="s">
        <v>49</v>
      </c>
      <c r="B358">
        <v>113</v>
      </c>
      <c r="C358">
        <v>510</v>
      </c>
      <c r="D358" t="s">
        <v>29</v>
      </c>
      <c r="E358" t="s">
        <v>29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 x14ac:dyDescent="0.25">
      <c r="A359" t="s">
        <v>56</v>
      </c>
      <c r="B359">
        <v>135</v>
      </c>
      <c r="C359">
        <v>510</v>
      </c>
      <c r="D359" t="s">
        <v>29</v>
      </c>
      <c r="E359" t="s">
        <v>30</v>
      </c>
      <c r="F359">
        <v>27</v>
      </c>
      <c r="G359">
        <v>273.39999999999998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 x14ac:dyDescent="0.25">
      <c r="A360" t="s">
        <v>45</v>
      </c>
      <c r="B360">
        <v>99</v>
      </c>
      <c r="C360">
        <v>408</v>
      </c>
      <c r="D360" t="s">
        <v>29</v>
      </c>
      <c r="E360" t="s">
        <v>29</v>
      </c>
      <c r="F360">
        <v>0</v>
      </c>
      <c r="G360">
        <v>155.30000000000001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145.69999999999999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 x14ac:dyDescent="0.25">
      <c r="A361" t="s">
        <v>56</v>
      </c>
      <c r="B361">
        <v>59</v>
      </c>
      <c r="C361">
        <v>510</v>
      </c>
      <c r="D361" t="s">
        <v>29</v>
      </c>
      <c r="E361" t="s">
        <v>30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 x14ac:dyDescent="0.25">
      <c r="A362" t="s">
        <v>36</v>
      </c>
      <c r="B362">
        <v>135</v>
      </c>
      <c r="C362">
        <v>510</v>
      </c>
      <c r="D362" t="s">
        <v>29</v>
      </c>
      <c r="E362" t="s">
        <v>29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 x14ac:dyDescent="0.25">
      <c r="A363" t="s">
        <v>57</v>
      </c>
      <c r="B363">
        <v>85</v>
      </c>
      <c r="C363">
        <v>408</v>
      </c>
      <c r="D363" t="s">
        <v>30</v>
      </c>
      <c r="E363" t="s">
        <v>29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 x14ac:dyDescent="0.25">
      <c r="A364" t="s">
        <v>44</v>
      </c>
      <c r="B364">
        <v>88</v>
      </c>
      <c r="C364">
        <v>510</v>
      </c>
      <c r="D364" t="s">
        <v>29</v>
      </c>
      <c r="E364" t="s">
        <v>29</v>
      </c>
      <c r="F364">
        <v>0</v>
      </c>
      <c r="G364">
        <v>138.30000000000001</v>
      </c>
      <c r="H364">
        <v>116</v>
      </c>
      <c r="I364">
        <v>23.51</v>
      </c>
      <c r="J364">
        <v>236</v>
      </c>
      <c r="K364">
        <v>138</v>
      </c>
      <c r="L364">
        <v>20.059999999999999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 x14ac:dyDescent="0.25">
      <c r="A365" t="s">
        <v>67</v>
      </c>
      <c r="B365">
        <v>55</v>
      </c>
      <c r="C365">
        <v>510</v>
      </c>
      <c r="D365" t="s">
        <v>29</v>
      </c>
      <c r="E365" t="s">
        <v>29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 x14ac:dyDescent="0.25">
      <c r="A366" t="s">
        <v>53</v>
      </c>
      <c r="B366">
        <v>75</v>
      </c>
      <c r="C366">
        <v>415</v>
      </c>
      <c r="D366" t="s">
        <v>29</v>
      </c>
      <c r="E366" t="s">
        <v>29</v>
      </c>
      <c r="F366">
        <v>0</v>
      </c>
      <c r="G366">
        <v>117.3</v>
      </c>
      <c r="H366">
        <v>114</v>
      </c>
      <c r="I366">
        <v>19.940000000000001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4.8600000000000003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 x14ac:dyDescent="0.25">
      <c r="A367" t="s">
        <v>28</v>
      </c>
      <c r="B367">
        <v>86</v>
      </c>
      <c r="C367">
        <v>408</v>
      </c>
      <c r="D367" t="s">
        <v>29</v>
      </c>
      <c r="E367" t="s">
        <v>30</v>
      </c>
      <c r="F367">
        <v>23</v>
      </c>
      <c r="G367">
        <v>225.5</v>
      </c>
      <c r="H367">
        <v>107</v>
      </c>
      <c r="I367">
        <v>38.340000000000003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9.8000000000000007</v>
      </c>
      <c r="Q367">
        <v>2</v>
      </c>
      <c r="R367">
        <v>2.65</v>
      </c>
      <c r="S367">
        <v>0</v>
      </c>
      <c r="T367" t="b">
        <v>0</v>
      </c>
    </row>
    <row r="368" spans="1:20" x14ac:dyDescent="0.25">
      <c r="A368" t="s">
        <v>31</v>
      </c>
      <c r="B368">
        <v>97</v>
      </c>
      <c r="C368">
        <v>408</v>
      </c>
      <c r="D368" t="s">
        <v>29</v>
      </c>
      <c r="E368" t="s">
        <v>29</v>
      </c>
      <c r="F368">
        <v>0</v>
      </c>
      <c r="G368">
        <v>256.39999999999998</v>
      </c>
      <c r="H368">
        <v>125</v>
      </c>
      <c r="I368">
        <v>43.59</v>
      </c>
      <c r="J368">
        <v>273.89999999999998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 x14ac:dyDescent="0.25">
      <c r="A369" t="s">
        <v>35</v>
      </c>
      <c r="B369">
        <v>88</v>
      </c>
      <c r="C369">
        <v>415</v>
      </c>
      <c r="D369" t="s">
        <v>29</v>
      </c>
      <c r="E369" t="s">
        <v>29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 x14ac:dyDescent="0.25">
      <c r="A370" t="s">
        <v>71</v>
      </c>
      <c r="B370">
        <v>54</v>
      </c>
      <c r="C370">
        <v>408</v>
      </c>
      <c r="D370" t="s">
        <v>29</v>
      </c>
      <c r="E370" t="s">
        <v>29</v>
      </c>
      <c r="F370">
        <v>0</v>
      </c>
      <c r="G370">
        <v>159.80000000000001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9.6999999999999993</v>
      </c>
      <c r="Q370">
        <v>7</v>
      </c>
      <c r="R370">
        <v>2.62</v>
      </c>
      <c r="S370">
        <v>2</v>
      </c>
      <c r="T370" t="b">
        <v>0</v>
      </c>
    </row>
    <row r="371" spans="1:20" x14ac:dyDescent="0.25">
      <c r="A371" t="s">
        <v>69</v>
      </c>
      <c r="B371">
        <v>11</v>
      </c>
      <c r="C371">
        <v>415</v>
      </c>
      <c r="D371" t="s">
        <v>29</v>
      </c>
      <c r="E371" t="s">
        <v>30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 x14ac:dyDescent="0.25">
      <c r="A372" t="s">
        <v>65</v>
      </c>
      <c r="B372">
        <v>109</v>
      </c>
      <c r="C372">
        <v>415</v>
      </c>
      <c r="D372" t="s">
        <v>29</v>
      </c>
      <c r="E372" t="s">
        <v>29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153.69999999999999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 x14ac:dyDescent="0.25">
      <c r="A373" t="s">
        <v>61</v>
      </c>
      <c r="B373">
        <v>90</v>
      </c>
      <c r="C373">
        <v>415</v>
      </c>
      <c r="D373" t="s">
        <v>29</v>
      </c>
      <c r="E373" t="s">
        <v>29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 x14ac:dyDescent="0.25">
      <c r="A374" t="s">
        <v>68</v>
      </c>
      <c r="B374">
        <v>91</v>
      </c>
      <c r="C374">
        <v>408</v>
      </c>
      <c r="D374" t="s">
        <v>29</v>
      </c>
      <c r="E374" t="s">
        <v>29</v>
      </c>
      <c r="F374">
        <v>0</v>
      </c>
      <c r="G374">
        <v>133.69999999999999</v>
      </c>
      <c r="H374">
        <v>75</v>
      </c>
      <c r="I374">
        <v>22.73</v>
      </c>
      <c r="J374">
        <v>195.3</v>
      </c>
      <c r="K374">
        <v>87</v>
      </c>
      <c r="L374">
        <v>16.600000000000001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 x14ac:dyDescent="0.25">
      <c r="A375" t="s">
        <v>79</v>
      </c>
      <c r="B375">
        <v>105</v>
      </c>
      <c r="C375">
        <v>415</v>
      </c>
      <c r="D375" t="s">
        <v>29</v>
      </c>
      <c r="E375" t="s">
        <v>30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272.39999999999998</v>
      </c>
      <c r="N375">
        <v>111</v>
      </c>
      <c r="O375">
        <v>12.26</v>
      </c>
      <c r="P375">
        <v>8.5</v>
      </c>
      <c r="Q375">
        <v>5</v>
      </c>
      <c r="R375">
        <v>2.2999999999999998</v>
      </c>
      <c r="S375">
        <v>0</v>
      </c>
      <c r="T375" t="b">
        <v>0</v>
      </c>
    </row>
    <row r="376" spans="1:20" x14ac:dyDescent="0.25">
      <c r="A376" t="s">
        <v>68</v>
      </c>
      <c r="B376">
        <v>71</v>
      </c>
      <c r="C376">
        <v>415</v>
      </c>
      <c r="D376" t="s">
        <v>30</v>
      </c>
      <c r="E376" t="s">
        <v>29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 x14ac:dyDescent="0.25">
      <c r="A377" t="s">
        <v>45</v>
      </c>
      <c r="B377">
        <v>132</v>
      </c>
      <c r="C377">
        <v>510</v>
      </c>
      <c r="D377" t="s">
        <v>29</v>
      </c>
      <c r="E377" t="s">
        <v>30</v>
      </c>
      <c r="F377">
        <v>36</v>
      </c>
      <c r="G377">
        <v>226.2</v>
      </c>
      <c r="H377">
        <v>103</v>
      </c>
      <c r="I377">
        <v>38.450000000000003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 x14ac:dyDescent="0.25">
      <c r="A378" t="s">
        <v>55</v>
      </c>
      <c r="B378">
        <v>112</v>
      </c>
      <c r="C378">
        <v>415</v>
      </c>
      <c r="D378" t="s">
        <v>29</v>
      </c>
      <c r="E378" t="s">
        <v>29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 x14ac:dyDescent="0.25">
      <c r="A379" t="s">
        <v>34</v>
      </c>
      <c r="B379">
        <v>41</v>
      </c>
      <c r="C379">
        <v>510</v>
      </c>
      <c r="D379" t="s">
        <v>29</v>
      </c>
      <c r="E379" t="s">
        <v>30</v>
      </c>
      <c r="F379">
        <v>34</v>
      </c>
      <c r="G379">
        <v>194.4</v>
      </c>
      <c r="H379">
        <v>63</v>
      </c>
      <c r="I379">
        <v>33.049999999999997</v>
      </c>
      <c r="J379">
        <v>254.9</v>
      </c>
      <c r="K379">
        <v>110</v>
      </c>
      <c r="L379">
        <v>21.67</v>
      </c>
      <c r="M379">
        <v>160.19999999999999</v>
      </c>
      <c r="N379">
        <v>115</v>
      </c>
      <c r="O379">
        <v>7.21</v>
      </c>
      <c r="P379">
        <v>17.2</v>
      </c>
      <c r="Q379">
        <v>9</v>
      </c>
      <c r="R379">
        <v>4.6399999999999997</v>
      </c>
      <c r="S379">
        <v>2</v>
      </c>
      <c r="T379" t="b">
        <v>0</v>
      </c>
    </row>
    <row r="380" spans="1:20" x14ac:dyDescent="0.25">
      <c r="A380" t="s">
        <v>48</v>
      </c>
      <c r="B380">
        <v>44</v>
      </c>
      <c r="C380">
        <v>415</v>
      </c>
      <c r="D380" t="s">
        <v>29</v>
      </c>
      <c r="E380" t="s">
        <v>29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 x14ac:dyDescent="0.25">
      <c r="A381" t="s">
        <v>68</v>
      </c>
      <c r="B381">
        <v>78</v>
      </c>
      <c r="C381">
        <v>408</v>
      </c>
      <c r="D381" t="s">
        <v>29</v>
      </c>
      <c r="E381" t="s">
        <v>29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 x14ac:dyDescent="0.25">
      <c r="A382" t="s">
        <v>50</v>
      </c>
      <c r="B382">
        <v>149</v>
      </c>
      <c r="C382">
        <v>408</v>
      </c>
      <c r="D382" t="s">
        <v>29</v>
      </c>
      <c r="E382" t="s">
        <v>29</v>
      </c>
      <c r="F382">
        <v>0</v>
      </c>
      <c r="G382">
        <v>69.099999999999994</v>
      </c>
      <c r="H382">
        <v>117</v>
      </c>
      <c r="I382">
        <v>11.75</v>
      </c>
      <c r="J382">
        <v>136.30000000000001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 x14ac:dyDescent="0.25">
      <c r="A383" t="s">
        <v>37</v>
      </c>
      <c r="B383">
        <v>72</v>
      </c>
      <c r="C383">
        <v>510</v>
      </c>
      <c r="D383" t="s">
        <v>29</v>
      </c>
      <c r="E383" t="s">
        <v>30</v>
      </c>
      <c r="F383">
        <v>33</v>
      </c>
      <c r="G383">
        <v>96.6</v>
      </c>
      <c r="H383">
        <v>59</v>
      </c>
      <c r="I383">
        <v>16.420000000000002</v>
      </c>
      <c r="J383">
        <v>315.39999999999998</v>
      </c>
      <c r="K383">
        <v>98</v>
      </c>
      <c r="L383">
        <v>26.81</v>
      </c>
      <c r="M383">
        <v>163.30000000000001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 x14ac:dyDescent="0.25">
      <c r="A384" t="s">
        <v>56</v>
      </c>
      <c r="B384">
        <v>74</v>
      </c>
      <c r="C384">
        <v>510</v>
      </c>
      <c r="D384" t="s">
        <v>29</v>
      </c>
      <c r="E384" t="s">
        <v>29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 x14ac:dyDescent="0.25">
      <c r="A385" t="s">
        <v>61</v>
      </c>
      <c r="B385">
        <v>50</v>
      </c>
      <c r="C385">
        <v>510</v>
      </c>
      <c r="D385" t="s">
        <v>29</v>
      </c>
      <c r="E385" t="s">
        <v>29</v>
      </c>
      <c r="F385">
        <v>0</v>
      </c>
      <c r="G385">
        <v>258.10000000000002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10.130000000000001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 x14ac:dyDescent="0.25">
      <c r="A386" t="s">
        <v>53</v>
      </c>
      <c r="B386">
        <v>141</v>
      </c>
      <c r="C386">
        <v>510</v>
      </c>
      <c r="D386" t="s">
        <v>29</v>
      </c>
      <c r="E386" t="s">
        <v>30</v>
      </c>
      <c r="F386">
        <v>23</v>
      </c>
      <c r="G386">
        <v>149.69999999999999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2.0499999999999998</v>
      </c>
      <c r="S386">
        <v>3</v>
      </c>
      <c r="T386" t="b">
        <v>0</v>
      </c>
    </row>
    <row r="387" spans="1:20" x14ac:dyDescent="0.25">
      <c r="A387" t="s">
        <v>47</v>
      </c>
      <c r="B387">
        <v>140</v>
      </c>
      <c r="C387">
        <v>408</v>
      </c>
      <c r="D387" t="s">
        <v>29</v>
      </c>
      <c r="E387" t="s">
        <v>29</v>
      </c>
      <c r="F387">
        <v>0</v>
      </c>
      <c r="G387">
        <v>149.80000000000001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 x14ac:dyDescent="0.25">
      <c r="A388" t="s">
        <v>41</v>
      </c>
      <c r="B388">
        <v>99</v>
      </c>
      <c r="C388">
        <v>408</v>
      </c>
      <c r="D388" t="s">
        <v>29</v>
      </c>
      <c r="E388" t="s">
        <v>29</v>
      </c>
      <c r="F388">
        <v>0</v>
      </c>
      <c r="G388">
        <v>190.4</v>
      </c>
      <c r="H388">
        <v>102</v>
      </c>
      <c r="I388">
        <v>32.369999999999997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 x14ac:dyDescent="0.25">
      <c r="A389" t="s">
        <v>78</v>
      </c>
      <c r="B389">
        <v>166</v>
      </c>
      <c r="C389">
        <v>408</v>
      </c>
      <c r="D389" t="s">
        <v>29</v>
      </c>
      <c r="E389" t="s">
        <v>29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 x14ac:dyDescent="0.25">
      <c r="A390" t="s">
        <v>55</v>
      </c>
      <c r="B390">
        <v>74</v>
      </c>
      <c r="C390">
        <v>415</v>
      </c>
      <c r="D390" t="s">
        <v>29</v>
      </c>
      <c r="E390" t="s">
        <v>29</v>
      </c>
      <c r="F390">
        <v>0</v>
      </c>
      <c r="G390">
        <v>155.69999999999999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257.39999999999998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 x14ac:dyDescent="0.25">
      <c r="A391" t="s">
        <v>53</v>
      </c>
      <c r="B391">
        <v>117</v>
      </c>
      <c r="C391">
        <v>510</v>
      </c>
      <c r="D391" t="s">
        <v>29</v>
      </c>
      <c r="E391" t="s">
        <v>29</v>
      </c>
      <c r="F391">
        <v>0</v>
      </c>
      <c r="G391">
        <v>149.9</v>
      </c>
      <c r="H391">
        <v>95</v>
      </c>
      <c r="I391">
        <v>25.48</v>
      </c>
      <c r="J391">
        <v>256.10000000000002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 x14ac:dyDescent="0.25">
      <c r="A392" t="s">
        <v>53</v>
      </c>
      <c r="B392">
        <v>85</v>
      </c>
      <c r="C392">
        <v>510</v>
      </c>
      <c r="D392" t="s">
        <v>29</v>
      </c>
      <c r="E392" t="s">
        <v>29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 x14ac:dyDescent="0.25">
      <c r="A393" t="s">
        <v>61</v>
      </c>
      <c r="B393">
        <v>36</v>
      </c>
      <c r="C393">
        <v>415</v>
      </c>
      <c r="D393" t="s">
        <v>29</v>
      </c>
      <c r="E393" t="s">
        <v>30</v>
      </c>
      <c r="F393">
        <v>16</v>
      </c>
      <c r="G393">
        <v>149.4</v>
      </c>
      <c r="H393">
        <v>111</v>
      </c>
      <c r="I393">
        <v>25.4</v>
      </c>
      <c r="J393">
        <v>131.80000000000001</v>
      </c>
      <c r="K393">
        <v>113</v>
      </c>
      <c r="L393">
        <v>11.2</v>
      </c>
      <c r="M393">
        <v>132.69999999999999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 x14ac:dyDescent="0.25">
      <c r="A394" t="s">
        <v>60</v>
      </c>
      <c r="B394">
        <v>76</v>
      </c>
      <c r="C394">
        <v>415</v>
      </c>
      <c r="D394" t="s">
        <v>29</v>
      </c>
      <c r="E394" t="s">
        <v>29</v>
      </c>
      <c r="F394">
        <v>0</v>
      </c>
      <c r="G394">
        <v>204.2</v>
      </c>
      <c r="H394">
        <v>100</v>
      </c>
      <c r="I394">
        <v>34.71</v>
      </c>
      <c r="J394">
        <v>292.60000000000002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 x14ac:dyDescent="0.25">
      <c r="A395" t="s">
        <v>42</v>
      </c>
      <c r="B395">
        <v>165</v>
      </c>
      <c r="C395">
        <v>510</v>
      </c>
      <c r="D395" t="s">
        <v>29</v>
      </c>
      <c r="E395" t="s">
        <v>29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17.829999999999998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 x14ac:dyDescent="0.25">
      <c r="A396" t="s">
        <v>39</v>
      </c>
      <c r="B396">
        <v>130</v>
      </c>
      <c r="C396">
        <v>415</v>
      </c>
      <c r="D396" t="s">
        <v>29</v>
      </c>
      <c r="E396" t="s">
        <v>29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8.3800000000000008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 x14ac:dyDescent="0.25">
      <c r="A397" t="s">
        <v>72</v>
      </c>
      <c r="B397">
        <v>92</v>
      </c>
      <c r="C397">
        <v>415</v>
      </c>
      <c r="D397" t="s">
        <v>30</v>
      </c>
      <c r="E397" t="s">
        <v>29</v>
      </c>
      <c r="F397">
        <v>0</v>
      </c>
      <c r="G397">
        <v>130.69999999999999</v>
      </c>
      <c r="H397">
        <v>113</v>
      </c>
      <c r="I397">
        <v>22.22</v>
      </c>
      <c r="J397">
        <v>260.60000000000002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 x14ac:dyDescent="0.25">
      <c r="A398" t="s">
        <v>55</v>
      </c>
      <c r="B398">
        <v>18</v>
      </c>
      <c r="C398">
        <v>408</v>
      </c>
      <c r="D398" t="s">
        <v>29</v>
      </c>
      <c r="E398" t="s">
        <v>29</v>
      </c>
      <c r="F398">
        <v>0</v>
      </c>
      <c r="G398">
        <v>273.60000000000002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8.1999999999999993</v>
      </c>
      <c r="Q398">
        <v>4</v>
      </c>
      <c r="R398">
        <v>2.21</v>
      </c>
      <c r="S398">
        <v>1</v>
      </c>
      <c r="T398" t="b">
        <v>0</v>
      </c>
    </row>
    <row r="399" spans="1:20" x14ac:dyDescent="0.25">
      <c r="A399" t="s">
        <v>45</v>
      </c>
      <c r="B399">
        <v>161</v>
      </c>
      <c r="C399">
        <v>415</v>
      </c>
      <c r="D399" t="s">
        <v>30</v>
      </c>
      <c r="E399" t="s">
        <v>29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 x14ac:dyDescent="0.25">
      <c r="A400" t="s">
        <v>62</v>
      </c>
      <c r="B400">
        <v>93</v>
      </c>
      <c r="C400">
        <v>415</v>
      </c>
      <c r="D400" t="s">
        <v>29</v>
      </c>
      <c r="E400" t="s">
        <v>30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 x14ac:dyDescent="0.25">
      <c r="A401" t="s">
        <v>34</v>
      </c>
      <c r="B401">
        <v>144</v>
      </c>
      <c r="C401">
        <v>415</v>
      </c>
      <c r="D401" t="s">
        <v>29</v>
      </c>
      <c r="E401" t="s">
        <v>29</v>
      </c>
      <c r="F401">
        <v>0</v>
      </c>
      <c r="G401">
        <v>177.5</v>
      </c>
      <c r="H401">
        <v>93</v>
      </c>
      <c r="I401">
        <v>30.18</v>
      </c>
      <c r="J401">
        <v>287.39999999999998</v>
      </c>
      <c r="K401">
        <v>75</v>
      </c>
      <c r="L401">
        <v>24.43</v>
      </c>
      <c r="M401">
        <v>180.5</v>
      </c>
      <c r="N401">
        <v>118</v>
      </c>
      <c r="O401">
        <v>8.1199999999999992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 x14ac:dyDescent="0.25">
      <c r="A402" t="s">
        <v>37</v>
      </c>
      <c r="B402">
        <v>95</v>
      </c>
      <c r="C402">
        <v>415</v>
      </c>
      <c r="D402" t="s">
        <v>29</v>
      </c>
      <c r="E402" t="s">
        <v>29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2.0299999999999998</v>
      </c>
      <c r="S402">
        <v>1</v>
      </c>
      <c r="T402" t="b">
        <v>0</v>
      </c>
    </row>
    <row r="403" spans="1:20" x14ac:dyDescent="0.25">
      <c r="A403" t="s">
        <v>45</v>
      </c>
      <c r="B403">
        <v>124</v>
      </c>
      <c r="C403">
        <v>415</v>
      </c>
      <c r="D403" t="s">
        <v>29</v>
      </c>
      <c r="E403" t="s">
        <v>30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2.0299999999999998</v>
      </c>
      <c r="S403">
        <v>1</v>
      </c>
      <c r="T403" t="b">
        <v>0</v>
      </c>
    </row>
    <row r="404" spans="1:20" x14ac:dyDescent="0.25">
      <c r="A404" t="s">
        <v>74</v>
      </c>
      <c r="B404">
        <v>93</v>
      </c>
      <c r="C404">
        <v>415</v>
      </c>
      <c r="D404" t="s">
        <v>30</v>
      </c>
      <c r="E404" t="s">
        <v>29</v>
      </c>
      <c r="F404">
        <v>0</v>
      </c>
      <c r="G404">
        <v>216.9</v>
      </c>
      <c r="H404">
        <v>61</v>
      </c>
      <c r="I404">
        <v>36.869999999999997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4.7300000000000004</v>
      </c>
      <c r="S404">
        <v>1</v>
      </c>
      <c r="T404" t="b">
        <v>1</v>
      </c>
    </row>
    <row r="405" spans="1:20" x14ac:dyDescent="0.25">
      <c r="A405" t="s">
        <v>74</v>
      </c>
      <c r="B405">
        <v>109</v>
      </c>
      <c r="C405">
        <v>415</v>
      </c>
      <c r="D405" t="s">
        <v>30</v>
      </c>
      <c r="E405" t="s">
        <v>30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9.3000000000000007</v>
      </c>
      <c r="Q405">
        <v>3</v>
      </c>
      <c r="R405">
        <v>2.5099999999999998</v>
      </c>
      <c r="S405">
        <v>0</v>
      </c>
      <c r="T405" t="b">
        <v>0</v>
      </c>
    </row>
    <row r="406" spans="1:20" x14ac:dyDescent="0.25">
      <c r="A406" t="s">
        <v>67</v>
      </c>
      <c r="B406">
        <v>80</v>
      </c>
      <c r="C406">
        <v>510</v>
      </c>
      <c r="D406" t="s">
        <v>29</v>
      </c>
      <c r="E406" t="s">
        <v>29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263.60000000000002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 x14ac:dyDescent="0.25">
      <c r="A407" t="s">
        <v>54</v>
      </c>
      <c r="B407">
        <v>41</v>
      </c>
      <c r="C407">
        <v>415</v>
      </c>
      <c r="D407" t="s">
        <v>29</v>
      </c>
      <c r="E407" t="s">
        <v>29</v>
      </c>
      <c r="F407">
        <v>0</v>
      </c>
      <c r="G407">
        <v>159.30000000000001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261.89999999999998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 x14ac:dyDescent="0.25">
      <c r="A408" t="s">
        <v>31</v>
      </c>
      <c r="B408">
        <v>136</v>
      </c>
      <c r="C408">
        <v>415</v>
      </c>
      <c r="D408" t="s">
        <v>29</v>
      </c>
      <c r="E408" t="s">
        <v>30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 x14ac:dyDescent="0.25">
      <c r="A409" t="s">
        <v>28</v>
      </c>
      <c r="B409">
        <v>143</v>
      </c>
      <c r="C409">
        <v>408</v>
      </c>
      <c r="D409" t="s">
        <v>29</v>
      </c>
      <c r="E409" t="s">
        <v>30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 x14ac:dyDescent="0.25">
      <c r="A410" t="s">
        <v>73</v>
      </c>
      <c r="B410">
        <v>118</v>
      </c>
      <c r="C410">
        <v>415</v>
      </c>
      <c r="D410" t="s">
        <v>29</v>
      </c>
      <c r="E410" t="s">
        <v>30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 x14ac:dyDescent="0.25">
      <c r="A411" t="s">
        <v>42</v>
      </c>
      <c r="B411">
        <v>193</v>
      </c>
      <c r="C411">
        <v>408</v>
      </c>
      <c r="D411" t="s">
        <v>29</v>
      </c>
      <c r="E411" t="s">
        <v>30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 x14ac:dyDescent="0.25">
      <c r="A412" t="s">
        <v>48</v>
      </c>
      <c r="B412">
        <v>73</v>
      </c>
      <c r="C412">
        <v>415</v>
      </c>
      <c r="D412" t="s">
        <v>29</v>
      </c>
      <c r="E412" t="s">
        <v>29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146.19999999999999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 x14ac:dyDescent="0.25">
      <c r="A413" t="s">
        <v>43</v>
      </c>
      <c r="B413">
        <v>62</v>
      </c>
      <c r="C413">
        <v>408</v>
      </c>
      <c r="D413" t="s">
        <v>29</v>
      </c>
      <c r="E413" t="s">
        <v>29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 x14ac:dyDescent="0.25">
      <c r="A414" t="s">
        <v>59</v>
      </c>
      <c r="B414">
        <v>30</v>
      </c>
      <c r="C414">
        <v>415</v>
      </c>
      <c r="D414" t="s">
        <v>29</v>
      </c>
      <c r="E414" t="s">
        <v>30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18.170000000000002</v>
      </c>
      <c r="M414">
        <v>227.2</v>
      </c>
      <c r="N414">
        <v>104</v>
      </c>
      <c r="O414">
        <v>10.220000000000001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 x14ac:dyDescent="0.25">
      <c r="A415" t="s">
        <v>34</v>
      </c>
      <c r="B415">
        <v>60</v>
      </c>
      <c r="C415">
        <v>408</v>
      </c>
      <c r="D415" t="s">
        <v>30</v>
      </c>
      <c r="E415" t="s">
        <v>30</v>
      </c>
      <c r="F415">
        <v>29</v>
      </c>
      <c r="G415">
        <v>265.89999999999998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4.8600000000000003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 x14ac:dyDescent="0.25">
      <c r="A416" t="s">
        <v>41</v>
      </c>
      <c r="B416">
        <v>148</v>
      </c>
      <c r="C416">
        <v>510</v>
      </c>
      <c r="D416" t="s">
        <v>29</v>
      </c>
      <c r="E416" t="s">
        <v>30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4.7300000000000004</v>
      </c>
      <c r="S416">
        <v>1</v>
      </c>
      <c r="T416" t="b">
        <v>0</v>
      </c>
    </row>
    <row r="417" spans="1:20" x14ac:dyDescent="0.25">
      <c r="A417" t="s">
        <v>73</v>
      </c>
      <c r="B417">
        <v>96</v>
      </c>
      <c r="C417">
        <v>510</v>
      </c>
      <c r="D417" t="s">
        <v>29</v>
      </c>
      <c r="E417" t="s">
        <v>29</v>
      </c>
      <c r="F417">
        <v>0</v>
      </c>
      <c r="G417">
        <v>98.2</v>
      </c>
      <c r="H417">
        <v>100</v>
      </c>
      <c r="I417">
        <v>16.690000000000001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8.2100000000000009</v>
      </c>
      <c r="P417">
        <v>7.6</v>
      </c>
      <c r="Q417">
        <v>1</v>
      </c>
      <c r="R417">
        <v>2.0499999999999998</v>
      </c>
      <c r="S417">
        <v>2</v>
      </c>
      <c r="T417" t="b">
        <v>0</v>
      </c>
    </row>
    <row r="418" spans="1:20" x14ac:dyDescent="0.25">
      <c r="A418" t="s">
        <v>67</v>
      </c>
      <c r="B418">
        <v>87</v>
      </c>
      <c r="C418">
        <v>415</v>
      </c>
      <c r="D418" t="s">
        <v>29</v>
      </c>
      <c r="E418" t="s">
        <v>29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19.100000000000001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 x14ac:dyDescent="0.25">
      <c r="A419" t="s">
        <v>57</v>
      </c>
      <c r="B419">
        <v>41</v>
      </c>
      <c r="C419">
        <v>408</v>
      </c>
      <c r="D419" t="s">
        <v>29</v>
      </c>
      <c r="E419" t="s">
        <v>29</v>
      </c>
      <c r="F419">
        <v>0</v>
      </c>
      <c r="G419">
        <v>202.9</v>
      </c>
      <c r="H419">
        <v>97</v>
      </c>
      <c r="I419">
        <v>34.49</v>
      </c>
      <c r="J419">
        <v>153.80000000000001</v>
      </c>
      <c r="K419">
        <v>104</v>
      </c>
      <c r="L419">
        <v>13.07</v>
      </c>
      <c r="M419">
        <v>113.5</v>
      </c>
      <c r="N419">
        <v>92</v>
      </c>
      <c r="O419">
        <v>5.1100000000000003</v>
      </c>
      <c r="P419">
        <v>9</v>
      </c>
      <c r="Q419">
        <v>3</v>
      </c>
      <c r="R419">
        <v>2.4300000000000002</v>
      </c>
      <c r="S419">
        <v>3</v>
      </c>
      <c r="T419" t="b">
        <v>0</v>
      </c>
    </row>
    <row r="420" spans="1:20" x14ac:dyDescent="0.25">
      <c r="A420" t="s">
        <v>37</v>
      </c>
      <c r="B420">
        <v>112</v>
      </c>
      <c r="C420">
        <v>415</v>
      </c>
      <c r="D420" t="s">
        <v>29</v>
      </c>
      <c r="E420" t="s">
        <v>29</v>
      </c>
      <c r="F420">
        <v>0</v>
      </c>
      <c r="G420">
        <v>261.39999999999998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 x14ac:dyDescent="0.25">
      <c r="A421" t="s">
        <v>75</v>
      </c>
      <c r="B421">
        <v>88</v>
      </c>
      <c r="C421">
        <v>510</v>
      </c>
      <c r="D421" t="s">
        <v>29</v>
      </c>
      <c r="E421" t="s">
        <v>29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8.1999999999999993</v>
      </c>
      <c r="Q421">
        <v>3</v>
      </c>
      <c r="R421">
        <v>2.21</v>
      </c>
      <c r="S421">
        <v>4</v>
      </c>
      <c r="T421" t="b">
        <v>1</v>
      </c>
    </row>
    <row r="422" spans="1:20" x14ac:dyDescent="0.25">
      <c r="A422" t="s">
        <v>71</v>
      </c>
      <c r="B422">
        <v>122</v>
      </c>
      <c r="C422">
        <v>408</v>
      </c>
      <c r="D422" t="s">
        <v>29</v>
      </c>
      <c r="E422" t="s">
        <v>30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9.1999999999999993</v>
      </c>
      <c r="Q422">
        <v>5</v>
      </c>
      <c r="R422">
        <v>2.48</v>
      </c>
      <c r="S422">
        <v>7</v>
      </c>
      <c r="T422" t="b">
        <v>0</v>
      </c>
    </row>
    <row r="423" spans="1:20" x14ac:dyDescent="0.25">
      <c r="A423" t="s">
        <v>36</v>
      </c>
      <c r="B423">
        <v>61</v>
      </c>
      <c r="C423">
        <v>408</v>
      </c>
      <c r="D423" t="s">
        <v>29</v>
      </c>
      <c r="E423" t="s">
        <v>29</v>
      </c>
      <c r="F423">
        <v>0</v>
      </c>
      <c r="G423">
        <v>45</v>
      </c>
      <c r="H423">
        <v>108</v>
      </c>
      <c r="I423">
        <v>7.65</v>
      </c>
      <c r="J423">
        <v>151.30000000000001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9.8000000000000007</v>
      </c>
      <c r="Q423">
        <v>6</v>
      </c>
      <c r="R423">
        <v>2.65</v>
      </c>
      <c r="S423">
        <v>2</v>
      </c>
      <c r="T423" t="b">
        <v>0</v>
      </c>
    </row>
    <row r="424" spans="1:20" x14ac:dyDescent="0.25">
      <c r="A424" t="s">
        <v>33</v>
      </c>
      <c r="B424">
        <v>176</v>
      </c>
      <c r="C424">
        <v>408</v>
      </c>
      <c r="D424" t="s">
        <v>29</v>
      </c>
      <c r="E424" t="s">
        <v>29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 x14ac:dyDescent="0.25">
      <c r="A425" t="s">
        <v>74</v>
      </c>
      <c r="B425">
        <v>30</v>
      </c>
      <c r="C425">
        <v>510</v>
      </c>
      <c r="D425" t="s">
        <v>29</v>
      </c>
      <c r="E425" t="s">
        <v>29</v>
      </c>
      <c r="F425">
        <v>0</v>
      </c>
      <c r="G425">
        <v>227.4</v>
      </c>
      <c r="H425">
        <v>88</v>
      </c>
      <c r="I425">
        <v>38.659999999999997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8.6300000000000008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 x14ac:dyDescent="0.25">
      <c r="A426" t="s">
        <v>41</v>
      </c>
      <c r="B426">
        <v>46</v>
      </c>
      <c r="C426">
        <v>415</v>
      </c>
      <c r="D426" t="s">
        <v>29</v>
      </c>
      <c r="E426" t="s">
        <v>29</v>
      </c>
      <c r="F426">
        <v>0</v>
      </c>
      <c r="G426">
        <v>124.8</v>
      </c>
      <c r="H426">
        <v>133</v>
      </c>
      <c r="I426">
        <v>21.22</v>
      </c>
      <c r="J426">
        <v>157.30000000000001</v>
      </c>
      <c r="K426">
        <v>143</v>
      </c>
      <c r="L426">
        <v>13.37</v>
      </c>
      <c r="M426">
        <v>199.3</v>
      </c>
      <c r="N426">
        <v>72</v>
      </c>
      <c r="O426">
        <v>8.9700000000000006</v>
      </c>
      <c r="P426">
        <v>8.6</v>
      </c>
      <c r="Q426">
        <v>4</v>
      </c>
      <c r="R426">
        <v>2.3199999999999998</v>
      </c>
      <c r="S426">
        <v>2</v>
      </c>
      <c r="T426" t="b">
        <v>0</v>
      </c>
    </row>
    <row r="427" spans="1:20" x14ac:dyDescent="0.25">
      <c r="A427" t="s">
        <v>69</v>
      </c>
      <c r="B427">
        <v>100</v>
      </c>
      <c r="C427">
        <v>510</v>
      </c>
      <c r="D427" t="s">
        <v>30</v>
      </c>
      <c r="E427" t="s">
        <v>29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 x14ac:dyDescent="0.25">
      <c r="A428" t="s">
        <v>70</v>
      </c>
      <c r="B428">
        <v>47</v>
      </c>
      <c r="C428">
        <v>415</v>
      </c>
      <c r="D428" t="s">
        <v>29</v>
      </c>
      <c r="E428" t="s">
        <v>30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17.260000000000002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 x14ac:dyDescent="0.25">
      <c r="A429" t="s">
        <v>34</v>
      </c>
      <c r="B429">
        <v>77</v>
      </c>
      <c r="C429">
        <v>415</v>
      </c>
      <c r="D429" t="s">
        <v>29</v>
      </c>
      <c r="E429" t="s">
        <v>29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 x14ac:dyDescent="0.25">
      <c r="A430" t="s">
        <v>58</v>
      </c>
      <c r="B430">
        <v>98</v>
      </c>
      <c r="C430">
        <v>415</v>
      </c>
      <c r="D430" t="s">
        <v>29</v>
      </c>
      <c r="E430" t="s">
        <v>30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 x14ac:dyDescent="0.25">
      <c r="A431" t="s">
        <v>33</v>
      </c>
      <c r="B431">
        <v>125</v>
      </c>
      <c r="C431">
        <v>415</v>
      </c>
      <c r="D431" t="s">
        <v>29</v>
      </c>
      <c r="E431" t="s">
        <v>30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 x14ac:dyDescent="0.25">
      <c r="A432" t="s">
        <v>48</v>
      </c>
      <c r="B432">
        <v>194</v>
      </c>
      <c r="C432">
        <v>408</v>
      </c>
      <c r="D432" t="s">
        <v>29</v>
      </c>
      <c r="E432" t="s">
        <v>29</v>
      </c>
      <c r="F432">
        <v>0</v>
      </c>
      <c r="G432">
        <v>48.4</v>
      </c>
      <c r="H432">
        <v>101</v>
      </c>
      <c r="I432">
        <v>8.23</v>
      </c>
      <c r="J432">
        <v>281.10000000000002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 x14ac:dyDescent="0.25">
      <c r="A433" t="s">
        <v>44</v>
      </c>
      <c r="B433">
        <v>128</v>
      </c>
      <c r="C433">
        <v>415</v>
      </c>
      <c r="D433" t="s">
        <v>29</v>
      </c>
      <c r="E433" t="s">
        <v>30</v>
      </c>
      <c r="F433">
        <v>40</v>
      </c>
      <c r="G433">
        <v>171.2</v>
      </c>
      <c r="H433">
        <v>88</v>
      </c>
      <c r="I433">
        <v>29.1</v>
      </c>
      <c r="J433">
        <v>145.69999999999999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 x14ac:dyDescent="0.25">
      <c r="A434" t="s">
        <v>61</v>
      </c>
      <c r="B434">
        <v>190</v>
      </c>
      <c r="C434">
        <v>415</v>
      </c>
      <c r="D434" t="s">
        <v>29</v>
      </c>
      <c r="E434" t="s">
        <v>30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2.2999999999999998</v>
      </c>
      <c r="S434">
        <v>0</v>
      </c>
      <c r="T434" t="b">
        <v>0</v>
      </c>
    </row>
    <row r="435" spans="1:20" x14ac:dyDescent="0.25">
      <c r="A435" t="s">
        <v>70</v>
      </c>
      <c r="B435">
        <v>59</v>
      </c>
      <c r="C435">
        <v>408</v>
      </c>
      <c r="D435" t="s">
        <v>29</v>
      </c>
      <c r="E435" t="s">
        <v>29</v>
      </c>
      <c r="F435">
        <v>0</v>
      </c>
      <c r="G435">
        <v>107.8</v>
      </c>
      <c r="H435">
        <v>113</v>
      </c>
      <c r="I435">
        <v>18.329999999999998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9.7899999999999991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 x14ac:dyDescent="0.25">
      <c r="A436" t="s">
        <v>34</v>
      </c>
      <c r="B436">
        <v>47</v>
      </c>
      <c r="C436">
        <v>408</v>
      </c>
      <c r="D436" t="s">
        <v>29</v>
      </c>
      <c r="E436" t="s">
        <v>30</v>
      </c>
      <c r="F436">
        <v>28</v>
      </c>
      <c r="G436">
        <v>141.30000000000001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5.1100000000000003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 x14ac:dyDescent="0.25">
      <c r="A437" t="s">
        <v>66</v>
      </c>
      <c r="B437">
        <v>152</v>
      </c>
      <c r="C437">
        <v>415</v>
      </c>
      <c r="D437" t="s">
        <v>30</v>
      </c>
      <c r="E437" t="s">
        <v>30</v>
      </c>
      <c r="F437">
        <v>20</v>
      </c>
      <c r="G437">
        <v>237.5</v>
      </c>
      <c r="H437">
        <v>120</v>
      </c>
      <c r="I437">
        <v>40.380000000000003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 x14ac:dyDescent="0.25">
      <c r="A438" t="s">
        <v>38</v>
      </c>
      <c r="B438">
        <v>95</v>
      </c>
      <c r="C438">
        <v>510</v>
      </c>
      <c r="D438" t="s">
        <v>29</v>
      </c>
      <c r="E438" t="s">
        <v>30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 x14ac:dyDescent="0.25">
      <c r="A439" t="s">
        <v>80</v>
      </c>
      <c r="B439">
        <v>31</v>
      </c>
      <c r="C439">
        <v>415</v>
      </c>
      <c r="D439" t="s">
        <v>29</v>
      </c>
      <c r="E439" t="s">
        <v>30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 x14ac:dyDescent="0.25">
      <c r="A440" t="s">
        <v>33</v>
      </c>
      <c r="B440">
        <v>121</v>
      </c>
      <c r="C440">
        <v>408</v>
      </c>
      <c r="D440" t="s">
        <v>29</v>
      </c>
      <c r="E440" t="s">
        <v>30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 x14ac:dyDescent="0.25">
      <c r="A441" t="s">
        <v>54</v>
      </c>
      <c r="B441">
        <v>111</v>
      </c>
      <c r="C441">
        <v>415</v>
      </c>
      <c r="D441" t="s">
        <v>29</v>
      </c>
      <c r="E441" t="s">
        <v>29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158.80000000000001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 x14ac:dyDescent="0.25">
      <c r="A442" t="s">
        <v>53</v>
      </c>
      <c r="B442">
        <v>44</v>
      </c>
      <c r="C442">
        <v>510</v>
      </c>
      <c r="D442" t="s">
        <v>29</v>
      </c>
      <c r="E442" t="s">
        <v>29</v>
      </c>
      <c r="F442">
        <v>0</v>
      </c>
      <c r="G442">
        <v>288.10000000000002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10.199999999999999</v>
      </c>
      <c r="Q442">
        <v>4</v>
      </c>
      <c r="R442">
        <v>2.75</v>
      </c>
      <c r="S442">
        <v>3</v>
      </c>
      <c r="T442" t="b">
        <v>1</v>
      </c>
    </row>
    <row r="443" spans="1:20" x14ac:dyDescent="0.25">
      <c r="A443" t="s">
        <v>61</v>
      </c>
      <c r="B443">
        <v>61</v>
      </c>
      <c r="C443">
        <v>510</v>
      </c>
      <c r="D443" t="s">
        <v>30</v>
      </c>
      <c r="E443" t="s">
        <v>29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16.649999999999999</v>
      </c>
      <c r="M443">
        <v>108</v>
      </c>
      <c r="N443">
        <v>100</v>
      </c>
      <c r="O443">
        <v>4.8600000000000003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 x14ac:dyDescent="0.25">
      <c r="A444" t="s">
        <v>67</v>
      </c>
      <c r="B444">
        <v>65</v>
      </c>
      <c r="C444">
        <v>415</v>
      </c>
      <c r="D444" t="s">
        <v>29</v>
      </c>
      <c r="E444" t="s">
        <v>29</v>
      </c>
      <c r="F444">
        <v>0</v>
      </c>
      <c r="G444">
        <v>148.69999999999999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 x14ac:dyDescent="0.25">
      <c r="A445" t="s">
        <v>48</v>
      </c>
      <c r="B445">
        <v>74</v>
      </c>
      <c r="C445">
        <v>415</v>
      </c>
      <c r="D445" t="s">
        <v>29</v>
      </c>
      <c r="E445" t="s">
        <v>30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 x14ac:dyDescent="0.25">
      <c r="A446" t="s">
        <v>32</v>
      </c>
      <c r="B446">
        <v>123</v>
      </c>
      <c r="C446">
        <v>408</v>
      </c>
      <c r="D446" t="s">
        <v>29</v>
      </c>
      <c r="E446" t="s">
        <v>29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10.210000000000001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 x14ac:dyDescent="0.25">
      <c r="A447" t="s">
        <v>44</v>
      </c>
      <c r="B447">
        <v>58</v>
      </c>
      <c r="C447">
        <v>408</v>
      </c>
      <c r="D447" t="s">
        <v>29</v>
      </c>
      <c r="E447" t="s">
        <v>30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 x14ac:dyDescent="0.25">
      <c r="A448" t="s">
        <v>40</v>
      </c>
      <c r="B448">
        <v>74</v>
      </c>
      <c r="C448">
        <v>408</v>
      </c>
      <c r="D448" t="s">
        <v>29</v>
      </c>
      <c r="E448" t="s">
        <v>29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257.60000000000002</v>
      </c>
      <c r="N448">
        <v>123</v>
      </c>
      <c r="O448">
        <v>11.59</v>
      </c>
      <c r="P448">
        <v>8.3000000000000007</v>
      </c>
      <c r="Q448">
        <v>5</v>
      </c>
      <c r="R448">
        <v>2.2400000000000002</v>
      </c>
      <c r="S448">
        <v>2</v>
      </c>
      <c r="T448" t="b">
        <v>1</v>
      </c>
    </row>
    <row r="449" spans="1:20" x14ac:dyDescent="0.25">
      <c r="A449" t="s">
        <v>46</v>
      </c>
      <c r="B449">
        <v>125</v>
      </c>
      <c r="C449">
        <v>415</v>
      </c>
      <c r="D449" t="s">
        <v>29</v>
      </c>
      <c r="E449" t="s">
        <v>29</v>
      </c>
      <c r="F449">
        <v>0</v>
      </c>
      <c r="G449">
        <v>131.80000000000001</v>
      </c>
      <c r="H449">
        <v>97</v>
      </c>
      <c r="I449">
        <v>22.41</v>
      </c>
      <c r="J449">
        <v>136.69999999999999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 x14ac:dyDescent="0.25">
      <c r="A450" t="s">
        <v>38</v>
      </c>
      <c r="B450">
        <v>53</v>
      </c>
      <c r="C450">
        <v>408</v>
      </c>
      <c r="D450" t="s">
        <v>29</v>
      </c>
      <c r="E450" t="s">
        <v>30</v>
      </c>
      <c r="F450">
        <v>18</v>
      </c>
      <c r="G450">
        <v>146.80000000000001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8.0399999999999991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 x14ac:dyDescent="0.25">
      <c r="A451" t="s">
        <v>49</v>
      </c>
      <c r="B451">
        <v>99</v>
      </c>
      <c r="C451">
        <v>408</v>
      </c>
      <c r="D451" t="s">
        <v>29</v>
      </c>
      <c r="E451" t="s">
        <v>30</v>
      </c>
      <c r="F451">
        <v>28</v>
      </c>
      <c r="G451">
        <v>200.7</v>
      </c>
      <c r="H451">
        <v>88</v>
      </c>
      <c r="I451">
        <v>34.119999999999997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 x14ac:dyDescent="0.25">
      <c r="A452" t="s">
        <v>41</v>
      </c>
      <c r="B452">
        <v>99</v>
      </c>
      <c r="C452">
        <v>415</v>
      </c>
      <c r="D452" t="s">
        <v>29</v>
      </c>
      <c r="E452" t="s">
        <v>29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 x14ac:dyDescent="0.25">
      <c r="A453" t="s">
        <v>80</v>
      </c>
      <c r="B453">
        <v>66</v>
      </c>
      <c r="C453">
        <v>415</v>
      </c>
      <c r="D453" t="s">
        <v>29</v>
      </c>
      <c r="E453" t="s">
        <v>30</v>
      </c>
      <c r="F453">
        <v>29</v>
      </c>
      <c r="G453">
        <v>229.4</v>
      </c>
      <c r="H453">
        <v>104</v>
      </c>
      <c r="I453">
        <v>39</v>
      </c>
      <c r="J453">
        <v>257.39999999999998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 x14ac:dyDescent="0.25">
      <c r="A454" t="s">
        <v>72</v>
      </c>
      <c r="B454">
        <v>97</v>
      </c>
      <c r="C454">
        <v>510</v>
      </c>
      <c r="D454" t="s">
        <v>29</v>
      </c>
      <c r="E454" t="s">
        <v>29</v>
      </c>
      <c r="F454">
        <v>0</v>
      </c>
      <c r="G454">
        <v>211</v>
      </c>
      <c r="H454">
        <v>76</v>
      </c>
      <c r="I454">
        <v>35.869999999999997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 x14ac:dyDescent="0.25">
      <c r="A455" t="s">
        <v>55</v>
      </c>
      <c r="B455">
        <v>85</v>
      </c>
      <c r="C455">
        <v>510</v>
      </c>
      <c r="D455" t="s">
        <v>30</v>
      </c>
      <c r="E455" t="s">
        <v>29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 x14ac:dyDescent="0.25">
      <c r="A456" t="s">
        <v>60</v>
      </c>
      <c r="B456">
        <v>108</v>
      </c>
      <c r="C456">
        <v>510</v>
      </c>
      <c r="D456" t="s">
        <v>29</v>
      </c>
      <c r="E456" t="s">
        <v>29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 x14ac:dyDescent="0.25">
      <c r="A457" t="s">
        <v>64</v>
      </c>
      <c r="B457">
        <v>133</v>
      </c>
      <c r="C457">
        <v>408</v>
      </c>
      <c r="D457" t="s">
        <v>30</v>
      </c>
      <c r="E457" t="s">
        <v>30</v>
      </c>
      <c r="F457">
        <v>32</v>
      </c>
      <c r="G457">
        <v>221.1</v>
      </c>
      <c r="H457">
        <v>137</v>
      </c>
      <c r="I457">
        <v>37.590000000000003</v>
      </c>
      <c r="J457">
        <v>264.89999999999998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 x14ac:dyDescent="0.25">
      <c r="A458" t="s">
        <v>59</v>
      </c>
      <c r="B458">
        <v>51</v>
      </c>
      <c r="C458">
        <v>510</v>
      </c>
      <c r="D458" t="s">
        <v>29</v>
      </c>
      <c r="E458" t="s">
        <v>29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16.739999999999998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 x14ac:dyDescent="0.25">
      <c r="A459" t="s">
        <v>66</v>
      </c>
      <c r="B459">
        <v>186</v>
      </c>
      <c r="C459">
        <v>415</v>
      </c>
      <c r="D459" t="s">
        <v>29</v>
      </c>
      <c r="E459" t="s">
        <v>30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 x14ac:dyDescent="0.25">
      <c r="A460" t="s">
        <v>57</v>
      </c>
      <c r="B460">
        <v>44</v>
      </c>
      <c r="C460">
        <v>415</v>
      </c>
      <c r="D460" t="s">
        <v>30</v>
      </c>
      <c r="E460" t="s">
        <v>29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138.69999999999999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 x14ac:dyDescent="0.25">
      <c r="A461" t="s">
        <v>45</v>
      </c>
      <c r="B461">
        <v>64</v>
      </c>
      <c r="C461">
        <v>408</v>
      </c>
      <c r="D461" t="s">
        <v>29</v>
      </c>
      <c r="E461" t="s">
        <v>30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2.4300000000000002</v>
      </c>
      <c r="S461">
        <v>3</v>
      </c>
      <c r="T461" t="b">
        <v>0</v>
      </c>
    </row>
    <row r="462" spans="1:20" x14ac:dyDescent="0.25">
      <c r="A462" t="s">
        <v>63</v>
      </c>
      <c r="B462">
        <v>114</v>
      </c>
      <c r="C462">
        <v>415</v>
      </c>
      <c r="D462" t="s">
        <v>29</v>
      </c>
      <c r="E462" t="s">
        <v>30</v>
      </c>
      <c r="F462">
        <v>36</v>
      </c>
      <c r="G462">
        <v>309.89999999999998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 x14ac:dyDescent="0.25">
      <c r="A463" t="s">
        <v>45</v>
      </c>
      <c r="B463">
        <v>92</v>
      </c>
      <c r="C463">
        <v>415</v>
      </c>
      <c r="D463" t="s">
        <v>29</v>
      </c>
      <c r="E463" t="s">
        <v>29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9.7899999999999991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 x14ac:dyDescent="0.25">
      <c r="A464" t="s">
        <v>58</v>
      </c>
      <c r="B464">
        <v>110</v>
      </c>
      <c r="C464">
        <v>408</v>
      </c>
      <c r="D464" t="s">
        <v>29</v>
      </c>
      <c r="E464" t="s">
        <v>29</v>
      </c>
      <c r="F464">
        <v>0</v>
      </c>
      <c r="G464">
        <v>149.80000000000001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 x14ac:dyDescent="0.25">
      <c r="A465" t="s">
        <v>46</v>
      </c>
      <c r="B465">
        <v>90</v>
      </c>
      <c r="C465">
        <v>408</v>
      </c>
      <c r="D465" t="s">
        <v>29</v>
      </c>
      <c r="E465" t="s">
        <v>30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 x14ac:dyDescent="0.25">
      <c r="A466" t="s">
        <v>80</v>
      </c>
      <c r="B466">
        <v>72</v>
      </c>
      <c r="C466">
        <v>408</v>
      </c>
      <c r="D466" t="s">
        <v>29</v>
      </c>
      <c r="E466" t="s">
        <v>30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 x14ac:dyDescent="0.25">
      <c r="A467" t="s">
        <v>60</v>
      </c>
      <c r="B467">
        <v>113</v>
      </c>
      <c r="C467">
        <v>415</v>
      </c>
      <c r="D467" t="s">
        <v>29</v>
      </c>
      <c r="E467" t="s">
        <v>29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 x14ac:dyDescent="0.25">
      <c r="A468" t="s">
        <v>77</v>
      </c>
      <c r="B468">
        <v>171</v>
      </c>
      <c r="C468">
        <v>415</v>
      </c>
      <c r="D468" t="s">
        <v>29</v>
      </c>
      <c r="E468" t="s">
        <v>30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150.80000000000001</v>
      </c>
      <c r="N468">
        <v>90</v>
      </c>
      <c r="O468">
        <v>6.79</v>
      </c>
      <c r="P468">
        <v>10.199999999999999</v>
      </c>
      <c r="Q468">
        <v>3</v>
      </c>
      <c r="R468">
        <v>2.75</v>
      </c>
      <c r="S468">
        <v>3</v>
      </c>
      <c r="T468" t="b">
        <v>0</v>
      </c>
    </row>
    <row r="469" spans="1:20" x14ac:dyDescent="0.25">
      <c r="A469" t="s">
        <v>67</v>
      </c>
      <c r="B469">
        <v>104</v>
      </c>
      <c r="C469">
        <v>415</v>
      </c>
      <c r="D469" t="s">
        <v>29</v>
      </c>
      <c r="E469" t="s">
        <v>29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 x14ac:dyDescent="0.25">
      <c r="A470" t="s">
        <v>72</v>
      </c>
      <c r="B470">
        <v>165</v>
      </c>
      <c r="C470">
        <v>408</v>
      </c>
      <c r="D470" t="s">
        <v>29</v>
      </c>
      <c r="E470" t="s">
        <v>29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311.60000000000002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 x14ac:dyDescent="0.25">
      <c r="A471" t="s">
        <v>63</v>
      </c>
      <c r="B471">
        <v>104</v>
      </c>
      <c r="C471">
        <v>510</v>
      </c>
      <c r="D471" t="s">
        <v>29</v>
      </c>
      <c r="E471" t="s">
        <v>29</v>
      </c>
      <c r="F471">
        <v>0</v>
      </c>
      <c r="G471">
        <v>234.2</v>
      </c>
      <c r="H471">
        <v>128</v>
      </c>
      <c r="I471">
        <v>39.81</v>
      </c>
      <c r="J471">
        <v>293.10000000000002</v>
      </c>
      <c r="K471">
        <v>92</v>
      </c>
      <c r="L471">
        <v>24.91</v>
      </c>
      <c r="M471">
        <v>183.9</v>
      </c>
      <c r="N471">
        <v>79</v>
      </c>
      <c r="O471">
        <v>8.2799999999999994</v>
      </c>
      <c r="P471">
        <v>9.8000000000000007</v>
      </c>
      <c r="Q471">
        <v>6</v>
      </c>
      <c r="R471">
        <v>2.65</v>
      </c>
      <c r="S471">
        <v>0</v>
      </c>
      <c r="T471" t="b">
        <v>1</v>
      </c>
    </row>
    <row r="472" spans="1:20" x14ac:dyDescent="0.25">
      <c r="A472" t="s">
        <v>56</v>
      </c>
      <c r="B472">
        <v>110</v>
      </c>
      <c r="C472">
        <v>408</v>
      </c>
      <c r="D472" t="s">
        <v>29</v>
      </c>
      <c r="E472" t="s">
        <v>29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9.0299999999999994</v>
      </c>
      <c r="P472">
        <v>10.199999999999999</v>
      </c>
      <c r="Q472">
        <v>5</v>
      </c>
      <c r="R472">
        <v>2.75</v>
      </c>
      <c r="S472">
        <v>1</v>
      </c>
      <c r="T472" t="b">
        <v>0</v>
      </c>
    </row>
    <row r="473" spans="1:20" x14ac:dyDescent="0.25">
      <c r="A473" t="s">
        <v>44</v>
      </c>
      <c r="B473">
        <v>90</v>
      </c>
      <c r="C473">
        <v>408</v>
      </c>
      <c r="D473" t="s">
        <v>30</v>
      </c>
      <c r="E473" t="s">
        <v>29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9.7100000000000009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 x14ac:dyDescent="0.25">
      <c r="A474" t="s">
        <v>51</v>
      </c>
      <c r="B474">
        <v>114</v>
      </c>
      <c r="C474">
        <v>415</v>
      </c>
      <c r="D474" t="s">
        <v>29</v>
      </c>
      <c r="E474" t="s">
        <v>29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 x14ac:dyDescent="0.25">
      <c r="A475" t="s">
        <v>34</v>
      </c>
      <c r="B475">
        <v>109</v>
      </c>
      <c r="C475">
        <v>408</v>
      </c>
      <c r="D475" t="s">
        <v>29</v>
      </c>
      <c r="E475" t="s">
        <v>29</v>
      </c>
      <c r="F475">
        <v>0</v>
      </c>
      <c r="G475">
        <v>218.9</v>
      </c>
      <c r="H475">
        <v>105</v>
      </c>
      <c r="I475">
        <v>37.21</v>
      </c>
      <c r="J475">
        <v>299.89999999999998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 x14ac:dyDescent="0.25">
      <c r="A476" t="s">
        <v>33</v>
      </c>
      <c r="B476">
        <v>92</v>
      </c>
      <c r="C476">
        <v>510</v>
      </c>
      <c r="D476" t="s">
        <v>29</v>
      </c>
      <c r="E476" t="s">
        <v>29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 x14ac:dyDescent="0.25">
      <c r="A477" t="s">
        <v>72</v>
      </c>
      <c r="B477">
        <v>82</v>
      </c>
      <c r="C477">
        <v>510</v>
      </c>
      <c r="D477" t="s">
        <v>29</v>
      </c>
      <c r="E477" t="s">
        <v>30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 x14ac:dyDescent="0.25">
      <c r="A478" t="s">
        <v>37</v>
      </c>
      <c r="B478">
        <v>90</v>
      </c>
      <c r="C478">
        <v>415</v>
      </c>
      <c r="D478" t="s">
        <v>29</v>
      </c>
      <c r="E478" t="s">
        <v>29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 x14ac:dyDescent="0.25">
      <c r="A479" t="s">
        <v>78</v>
      </c>
      <c r="B479">
        <v>87</v>
      </c>
      <c r="C479">
        <v>408</v>
      </c>
      <c r="D479" t="s">
        <v>29</v>
      </c>
      <c r="E479" t="s">
        <v>30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 x14ac:dyDescent="0.25">
      <c r="A480" t="s">
        <v>66</v>
      </c>
      <c r="B480">
        <v>124</v>
      </c>
      <c r="C480">
        <v>510</v>
      </c>
      <c r="D480" t="s">
        <v>29</v>
      </c>
      <c r="E480" t="s">
        <v>29</v>
      </c>
      <c r="F480">
        <v>0</v>
      </c>
      <c r="G480">
        <v>157.5</v>
      </c>
      <c r="H480">
        <v>70</v>
      </c>
      <c r="I480">
        <v>26.78</v>
      </c>
      <c r="J480">
        <v>130.69999999999999</v>
      </c>
      <c r="K480">
        <v>79</v>
      </c>
      <c r="L480">
        <v>11.11</v>
      </c>
      <c r="M480">
        <v>193.4</v>
      </c>
      <c r="N480">
        <v>98</v>
      </c>
      <c r="O480">
        <v>8.6999999999999993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 x14ac:dyDescent="0.25">
      <c r="A481" t="s">
        <v>47</v>
      </c>
      <c r="B481">
        <v>84</v>
      </c>
      <c r="C481">
        <v>415</v>
      </c>
      <c r="D481" t="s">
        <v>29</v>
      </c>
      <c r="E481" t="s">
        <v>29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 x14ac:dyDescent="0.25">
      <c r="A482" t="s">
        <v>31</v>
      </c>
      <c r="B482">
        <v>75</v>
      </c>
      <c r="C482">
        <v>510</v>
      </c>
      <c r="D482" t="s">
        <v>29</v>
      </c>
      <c r="E482" t="s">
        <v>30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17.079999999999998</v>
      </c>
      <c r="M482">
        <v>246.8</v>
      </c>
      <c r="N482">
        <v>126</v>
      </c>
      <c r="O482">
        <v>11.11</v>
      </c>
      <c r="P482">
        <v>9.1999999999999993</v>
      </c>
      <c r="Q482">
        <v>6</v>
      </c>
      <c r="R482">
        <v>2.48</v>
      </c>
      <c r="S482">
        <v>0</v>
      </c>
      <c r="T482" t="b">
        <v>0</v>
      </c>
    </row>
    <row r="483" spans="1:20" x14ac:dyDescent="0.25">
      <c r="A483" t="s">
        <v>74</v>
      </c>
      <c r="B483">
        <v>102</v>
      </c>
      <c r="C483">
        <v>510</v>
      </c>
      <c r="D483" t="s">
        <v>29</v>
      </c>
      <c r="E483" t="s">
        <v>29</v>
      </c>
      <c r="F483">
        <v>0</v>
      </c>
      <c r="G483">
        <v>102.6</v>
      </c>
      <c r="H483">
        <v>89</v>
      </c>
      <c r="I483">
        <v>17.440000000000001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 x14ac:dyDescent="0.25">
      <c r="A484" t="s">
        <v>35</v>
      </c>
      <c r="B484">
        <v>62</v>
      </c>
      <c r="C484">
        <v>415</v>
      </c>
      <c r="D484" t="s">
        <v>30</v>
      </c>
      <c r="E484" t="s">
        <v>29</v>
      </c>
      <c r="F484">
        <v>0</v>
      </c>
      <c r="G484">
        <v>159.69999999999999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 x14ac:dyDescent="0.25">
      <c r="A485" t="s">
        <v>37</v>
      </c>
      <c r="B485">
        <v>143</v>
      </c>
      <c r="C485">
        <v>510</v>
      </c>
      <c r="D485" t="s">
        <v>29</v>
      </c>
      <c r="E485" t="s">
        <v>29</v>
      </c>
      <c r="F485">
        <v>0</v>
      </c>
      <c r="G485">
        <v>202.8</v>
      </c>
      <c r="H485">
        <v>109</v>
      </c>
      <c r="I485">
        <v>34.479999999999997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4.5999999999999996</v>
      </c>
      <c r="Q485">
        <v>4</v>
      </c>
      <c r="R485">
        <v>1.24</v>
      </c>
      <c r="S485">
        <v>1</v>
      </c>
      <c r="T485" t="b">
        <v>0</v>
      </c>
    </row>
    <row r="486" spans="1:20" x14ac:dyDescent="0.25">
      <c r="A486" t="s">
        <v>74</v>
      </c>
      <c r="B486">
        <v>53</v>
      </c>
      <c r="C486">
        <v>415</v>
      </c>
      <c r="D486" t="s">
        <v>29</v>
      </c>
      <c r="E486" t="s">
        <v>29</v>
      </c>
      <c r="F486">
        <v>0</v>
      </c>
      <c r="G486">
        <v>57.5</v>
      </c>
      <c r="H486">
        <v>95</v>
      </c>
      <c r="I486">
        <v>9.7799999999999994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 x14ac:dyDescent="0.25">
      <c r="A487" t="s">
        <v>36</v>
      </c>
      <c r="B487">
        <v>112</v>
      </c>
      <c r="C487">
        <v>415</v>
      </c>
      <c r="D487" t="s">
        <v>29</v>
      </c>
      <c r="E487" t="s">
        <v>29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18.059999999999999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 x14ac:dyDescent="0.25">
      <c r="A488" t="s">
        <v>38</v>
      </c>
      <c r="B488">
        <v>129</v>
      </c>
      <c r="C488">
        <v>415</v>
      </c>
      <c r="D488" t="s">
        <v>29</v>
      </c>
      <c r="E488" t="s">
        <v>29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 x14ac:dyDescent="0.25">
      <c r="A489" t="s">
        <v>49</v>
      </c>
      <c r="B489">
        <v>28</v>
      </c>
      <c r="C489">
        <v>415</v>
      </c>
      <c r="D489" t="s">
        <v>29</v>
      </c>
      <c r="E489" t="s">
        <v>29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 x14ac:dyDescent="0.25">
      <c r="A490" t="s">
        <v>71</v>
      </c>
      <c r="B490">
        <v>90</v>
      </c>
      <c r="C490">
        <v>415</v>
      </c>
      <c r="D490" t="s">
        <v>29</v>
      </c>
      <c r="E490" t="s">
        <v>29</v>
      </c>
      <c r="F490">
        <v>0</v>
      </c>
      <c r="G490">
        <v>193.7</v>
      </c>
      <c r="H490">
        <v>83</v>
      </c>
      <c r="I490">
        <v>32.93</v>
      </c>
      <c r="J490">
        <v>154.19999999999999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 x14ac:dyDescent="0.25">
      <c r="A491" t="s">
        <v>58</v>
      </c>
      <c r="B491">
        <v>151</v>
      </c>
      <c r="C491">
        <v>510</v>
      </c>
      <c r="D491" t="s">
        <v>29</v>
      </c>
      <c r="E491" t="s">
        <v>29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 x14ac:dyDescent="0.25">
      <c r="A492" t="s">
        <v>69</v>
      </c>
      <c r="B492">
        <v>41</v>
      </c>
      <c r="C492">
        <v>408</v>
      </c>
      <c r="D492" t="s">
        <v>29</v>
      </c>
      <c r="E492" t="s">
        <v>30</v>
      </c>
      <c r="F492">
        <v>37</v>
      </c>
      <c r="G492">
        <v>239.8</v>
      </c>
      <c r="H492">
        <v>110</v>
      </c>
      <c r="I492">
        <v>40.770000000000003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 x14ac:dyDescent="0.25">
      <c r="A493" t="s">
        <v>61</v>
      </c>
      <c r="B493">
        <v>48</v>
      </c>
      <c r="C493">
        <v>510</v>
      </c>
      <c r="D493" t="s">
        <v>29</v>
      </c>
      <c r="E493" t="s">
        <v>30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 x14ac:dyDescent="0.25">
      <c r="A494" t="s">
        <v>43</v>
      </c>
      <c r="B494">
        <v>153</v>
      </c>
      <c r="C494">
        <v>510</v>
      </c>
      <c r="D494" t="s">
        <v>29</v>
      </c>
      <c r="E494" t="s">
        <v>29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142.80000000000001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 x14ac:dyDescent="0.25">
      <c r="A495" t="s">
        <v>28</v>
      </c>
      <c r="B495">
        <v>110</v>
      </c>
      <c r="C495">
        <v>415</v>
      </c>
      <c r="D495" t="s">
        <v>30</v>
      </c>
      <c r="E495" t="s">
        <v>29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266.89999999999998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 x14ac:dyDescent="0.25">
      <c r="A496" t="s">
        <v>28</v>
      </c>
      <c r="B496">
        <v>163</v>
      </c>
      <c r="C496">
        <v>415</v>
      </c>
      <c r="D496" t="s">
        <v>29</v>
      </c>
      <c r="E496" t="s">
        <v>29</v>
      </c>
      <c r="F496">
        <v>0</v>
      </c>
      <c r="G496">
        <v>191.3</v>
      </c>
      <c r="H496">
        <v>89</v>
      </c>
      <c r="I496">
        <v>32.520000000000003</v>
      </c>
      <c r="J496">
        <v>193.9</v>
      </c>
      <c r="K496">
        <v>87</v>
      </c>
      <c r="L496">
        <v>16.48</v>
      </c>
      <c r="M496">
        <v>268.39999999999998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 x14ac:dyDescent="0.25">
      <c r="A497" t="s">
        <v>69</v>
      </c>
      <c r="B497">
        <v>126</v>
      </c>
      <c r="C497">
        <v>510</v>
      </c>
      <c r="D497" t="s">
        <v>29</v>
      </c>
      <c r="E497" t="s">
        <v>29</v>
      </c>
      <c r="F497">
        <v>0</v>
      </c>
      <c r="G497">
        <v>122.4</v>
      </c>
      <c r="H497">
        <v>88</v>
      </c>
      <c r="I497">
        <v>20.81</v>
      </c>
      <c r="J497">
        <v>143.80000000000001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 x14ac:dyDescent="0.25">
      <c r="A498" t="s">
        <v>69</v>
      </c>
      <c r="B498">
        <v>126</v>
      </c>
      <c r="C498">
        <v>415</v>
      </c>
      <c r="D498" t="s">
        <v>29</v>
      </c>
      <c r="E498" t="s">
        <v>29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5.0999999999999996</v>
      </c>
      <c r="Q498">
        <v>2</v>
      </c>
      <c r="R498">
        <v>1.38</v>
      </c>
      <c r="S498">
        <v>0</v>
      </c>
      <c r="T498" t="b">
        <v>0</v>
      </c>
    </row>
    <row r="499" spans="1:20" x14ac:dyDescent="0.25">
      <c r="A499" t="s">
        <v>44</v>
      </c>
      <c r="B499">
        <v>97</v>
      </c>
      <c r="C499">
        <v>510</v>
      </c>
      <c r="D499" t="s">
        <v>29</v>
      </c>
      <c r="E499" t="s">
        <v>29</v>
      </c>
      <c r="F499">
        <v>0</v>
      </c>
      <c r="G499">
        <v>144.19999999999999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 x14ac:dyDescent="0.25">
      <c r="A500" t="s">
        <v>32</v>
      </c>
      <c r="B500">
        <v>95</v>
      </c>
      <c r="C500">
        <v>408</v>
      </c>
      <c r="D500" t="s">
        <v>30</v>
      </c>
      <c r="E500" t="s">
        <v>30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4.0999999999999996</v>
      </c>
      <c r="Q500">
        <v>2</v>
      </c>
      <c r="R500">
        <v>1.1100000000000001</v>
      </c>
      <c r="S500">
        <v>0</v>
      </c>
      <c r="T500" t="b">
        <v>1</v>
      </c>
    </row>
    <row r="501" spans="1:20" x14ac:dyDescent="0.25">
      <c r="A501" t="s">
        <v>59</v>
      </c>
      <c r="B501">
        <v>87</v>
      </c>
      <c r="C501">
        <v>510</v>
      </c>
      <c r="D501" t="s">
        <v>29</v>
      </c>
      <c r="E501" t="s">
        <v>29</v>
      </c>
      <c r="F501">
        <v>0</v>
      </c>
      <c r="G501">
        <v>256.2</v>
      </c>
      <c r="H501">
        <v>105</v>
      </c>
      <c r="I501">
        <v>43.55</v>
      </c>
      <c r="J501">
        <v>160.69999999999999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 x14ac:dyDescent="0.25">
      <c r="A502" t="s">
        <v>42</v>
      </c>
      <c r="B502">
        <v>97</v>
      </c>
      <c r="C502">
        <v>415</v>
      </c>
      <c r="D502" t="s">
        <v>29</v>
      </c>
      <c r="E502" t="s">
        <v>29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 x14ac:dyDescent="0.25">
      <c r="A503" t="s">
        <v>53</v>
      </c>
      <c r="B503">
        <v>76</v>
      </c>
      <c r="C503">
        <v>415</v>
      </c>
      <c r="D503" t="s">
        <v>29</v>
      </c>
      <c r="E503" t="s">
        <v>29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 x14ac:dyDescent="0.25">
      <c r="A504" t="s">
        <v>44</v>
      </c>
      <c r="B504">
        <v>140</v>
      </c>
      <c r="C504">
        <v>408</v>
      </c>
      <c r="D504" t="s">
        <v>29</v>
      </c>
      <c r="E504" t="s">
        <v>29</v>
      </c>
      <c r="F504">
        <v>0</v>
      </c>
      <c r="G504">
        <v>194.8</v>
      </c>
      <c r="H504">
        <v>107</v>
      </c>
      <c r="I504">
        <v>33.119999999999997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10.130000000000001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 x14ac:dyDescent="0.25">
      <c r="A505" t="s">
        <v>40</v>
      </c>
      <c r="B505">
        <v>169</v>
      </c>
      <c r="C505">
        <v>415</v>
      </c>
      <c r="D505" t="s">
        <v>29</v>
      </c>
      <c r="E505" t="s">
        <v>29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8.7100000000000009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 x14ac:dyDescent="0.25">
      <c r="A506" t="s">
        <v>79</v>
      </c>
      <c r="B506">
        <v>68</v>
      </c>
      <c r="C506">
        <v>408</v>
      </c>
      <c r="D506" t="s">
        <v>29</v>
      </c>
      <c r="E506" t="s">
        <v>30</v>
      </c>
      <c r="F506">
        <v>22</v>
      </c>
      <c r="G506">
        <v>82.5</v>
      </c>
      <c r="H506">
        <v>97</v>
      </c>
      <c r="I506">
        <v>14.03</v>
      </c>
      <c r="J506">
        <v>289.89999999999998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 x14ac:dyDescent="0.25">
      <c r="A507" t="s">
        <v>32</v>
      </c>
      <c r="B507">
        <v>122</v>
      </c>
      <c r="C507">
        <v>415</v>
      </c>
      <c r="D507" t="s">
        <v>29</v>
      </c>
      <c r="E507" t="s">
        <v>30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 x14ac:dyDescent="0.25">
      <c r="A508" t="s">
        <v>36</v>
      </c>
      <c r="B508">
        <v>36</v>
      </c>
      <c r="C508">
        <v>408</v>
      </c>
      <c r="D508" t="s">
        <v>29</v>
      </c>
      <c r="E508" t="s">
        <v>29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 x14ac:dyDescent="0.25">
      <c r="A509" t="s">
        <v>46</v>
      </c>
      <c r="B509">
        <v>120</v>
      </c>
      <c r="C509">
        <v>510</v>
      </c>
      <c r="D509" t="s">
        <v>29</v>
      </c>
      <c r="E509" t="s">
        <v>30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16.489999999999998</v>
      </c>
      <c r="M509">
        <v>256.5</v>
      </c>
      <c r="N509">
        <v>94</v>
      </c>
      <c r="O509">
        <v>11.54</v>
      </c>
      <c r="P509">
        <v>10.199999999999999</v>
      </c>
      <c r="Q509">
        <v>7</v>
      </c>
      <c r="R509">
        <v>2.75</v>
      </c>
      <c r="S509">
        <v>5</v>
      </c>
      <c r="T509" t="b">
        <v>0</v>
      </c>
    </row>
    <row r="510" spans="1:20" x14ac:dyDescent="0.25">
      <c r="A510" t="s">
        <v>64</v>
      </c>
      <c r="B510">
        <v>64</v>
      </c>
      <c r="C510">
        <v>408</v>
      </c>
      <c r="D510" t="s">
        <v>29</v>
      </c>
      <c r="E510" t="s">
        <v>30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2.0299999999999998</v>
      </c>
      <c r="S510">
        <v>0</v>
      </c>
      <c r="T510" t="b">
        <v>0</v>
      </c>
    </row>
    <row r="511" spans="1:20" x14ac:dyDescent="0.25">
      <c r="A511" t="s">
        <v>40</v>
      </c>
      <c r="B511">
        <v>13</v>
      </c>
      <c r="C511">
        <v>415</v>
      </c>
      <c r="D511" t="s">
        <v>29</v>
      </c>
      <c r="E511" t="s">
        <v>30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 x14ac:dyDescent="0.25">
      <c r="A512" t="s">
        <v>59</v>
      </c>
      <c r="B512">
        <v>106</v>
      </c>
      <c r="C512">
        <v>415</v>
      </c>
      <c r="D512" t="s">
        <v>29</v>
      </c>
      <c r="E512" t="s">
        <v>29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 x14ac:dyDescent="0.25">
      <c r="A513" t="s">
        <v>43</v>
      </c>
      <c r="B513">
        <v>74</v>
      </c>
      <c r="C513">
        <v>408</v>
      </c>
      <c r="D513" t="s">
        <v>29</v>
      </c>
      <c r="E513" t="s">
        <v>29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9.3800000000000008</v>
      </c>
      <c r="P513">
        <v>9.8000000000000007</v>
      </c>
      <c r="Q513">
        <v>3</v>
      </c>
      <c r="R513">
        <v>2.65</v>
      </c>
      <c r="S513">
        <v>1</v>
      </c>
      <c r="T513" t="b">
        <v>0</v>
      </c>
    </row>
    <row r="514" spans="1:20" x14ac:dyDescent="0.25">
      <c r="A514" t="s">
        <v>50</v>
      </c>
      <c r="B514">
        <v>83</v>
      </c>
      <c r="C514">
        <v>415</v>
      </c>
      <c r="D514" t="s">
        <v>29</v>
      </c>
      <c r="E514" t="s">
        <v>29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8.1300000000000008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 x14ac:dyDescent="0.25">
      <c r="A515" t="s">
        <v>33</v>
      </c>
      <c r="B515">
        <v>49</v>
      </c>
      <c r="C515">
        <v>415</v>
      </c>
      <c r="D515" t="s">
        <v>29</v>
      </c>
      <c r="E515" t="s">
        <v>29</v>
      </c>
      <c r="F515">
        <v>0</v>
      </c>
      <c r="G515">
        <v>213.8</v>
      </c>
      <c r="H515">
        <v>79</v>
      </c>
      <c r="I515">
        <v>36.35</v>
      </c>
      <c r="J515">
        <v>265.10000000000002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 x14ac:dyDescent="0.25">
      <c r="A516" t="s">
        <v>46</v>
      </c>
      <c r="B516">
        <v>111</v>
      </c>
      <c r="C516">
        <v>510</v>
      </c>
      <c r="D516" t="s">
        <v>29</v>
      </c>
      <c r="E516" t="s">
        <v>30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9.7200000000000006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 x14ac:dyDescent="0.25">
      <c r="A517" t="s">
        <v>40</v>
      </c>
      <c r="B517">
        <v>50</v>
      </c>
      <c r="C517">
        <v>415</v>
      </c>
      <c r="D517" t="s">
        <v>29</v>
      </c>
      <c r="E517" t="s">
        <v>30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2.2999999999999998</v>
      </c>
      <c r="S517">
        <v>3</v>
      </c>
      <c r="T517" t="b">
        <v>0</v>
      </c>
    </row>
    <row r="518" spans="1:20" x14ac:dyDescent="0.25">
      <c r="A518" t="s">
        <v>72</v>
      </c>
      <c r="B518">
        <v>88</v>
      </c>
      <c r="C518">
        <v>415</v>
      </c>
      <c r="D518" t="s">
        <v>29</v>
      </c>
      <c r="E518" t="s">
        <v>29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2.0299999999999998</v>
      </c>
      <c r="S518">
        <v>1</v>
      </c>
      <c r="T518" t="b">
        <v>0</v>
      </c>
    </row>
    <row r="519" spans="1:20" x14ac:dyDescent="0.25">
      <c r="A519" t="s">
        <v>57</v>
      </c>
      <c r="B519">
        <v>131</v>
      </c>
      <c r="C519">
        <v>415</v>
      </c>
      <c r="D519" t="s">
        <v>29</v>
      </c>
      <c r="E519" t="s">
        <v>30</v>
      </c>
      <c r="F519">
        <v>39</v>
      </c>
      <c r="G519">
        <v>69.099999999999994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 x14ac:dyDescent="0.25">
      <c r="A520" t="s">
        <v>36</v>
      </c>
      <c r="B520">
        <v>79</v>
      </c>
      <c r="C520">
        <v>408</v>
      </c>
      <c r="D520" t="s">
        <v>29</v>
      </c>
      <c r="E520" t="s">
        <v>29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17.899999999999999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 x14ac:dyDescent="0.25">
      <c r="A521" t="s">
        <v>70</v>
      </c>
      <c r="B521">
        <v>140</v>
      </c>
      <c r="C521">
        <v>415</v>
      </c>
      <c r="D521" t="s">
        <v>29</v>
      </c>
      <c r="E521" t="s">
        <v>29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4.6399999999999997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 x14ac:dyDescent="0.25">
      <c r="A522" t="s">
        <v>80</v>
      </c>
      <c r="B522">
        <v>105</v>
      </c>
      <c r="C522">
        <v>408</v>
      </c>
      <c r="D522" t="s">
        <v>29</v>
      </c>
      <c r="E522" t="s">
        <v>29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17.420000000000002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 x14ac:dyDescent="0.25">
      <c r="A523" t="s">
        <v>49</v>
      </c>
      <c r="B523">
        <v>87</v>
      </c>
      <c r="C523">
        <v>415</v>
      </c>
      <c r="D523" t="s">
        <v>29</v>
      </c>
      <c r="E523" t="s">
        <v>30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8.7899999999999991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2.2999999999999998</v>
      </c>
      <c r="S523">
        <v>3</v>
      </c>
      <c r="T523" t="b">
        <v>0</v>
      </c>
    </row>
    <row r="524" spans="1:20" x14ac:dyDescent="0.25">
      <c r="A524" t="s">
        <v>62</v>
      </c>
      <c r="B524">
        <v>96</v>
      </c>
      <c r="C524">
        <v>510</v>
      </c>
      <c r="D524" t="s">
        <v>29</v>
      </c>
      <c r="E524" t="s">
        <v>30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 x14ac:dyDescent="0.25">
      <c r="A525" t="s">
        <v>54</v>
      </c>
      <c r="B525">
        <v>130</v>
      </c>
      <c r="C525">
        <v>415</v>
      </c>
      <c r="D525" t="s">
        <v>29</v>
      </c>
      <c r="E525" t="s">
        <v>29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9.3000000000000007</v>
      </c>
      <c r="Q525">
        <v>2</v>
      </c>
      <c r="R525">
        <v>2.5099999999999998</v>
      </c>
      <c r="S525">
        <v>2</v>
      </c>
      <c r="T525" t="b">
        <v>0</v>
      </c>
    </row>
    <row r="526" spans="1:20" x14ac:dyDescent="0.25">
      <c r="A526" t="s">
        <v>43</v>
      </c>
      <c r="B526">
        <v>34</v>
      </c>
      <c r="C526">
        <v>415</v>
      </c>
      <c r="D526" t="s">
        <v>29</v>
      </c>
      <c r="E526" t="s">
        <v>29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 x14ac:dyDescent="0.25">
      <c r="A527" t="s">
        <v>46</v>
      </c>
      <c r="B527">
        <v>139</v>
      </c>
      <c r="C527">
        <v>415</v>
      </c>
      <c r="D527" t="s">
        <v>29</v>
      </c>
      <c r="E527" t="s">
        <v>29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8.3000000000000007</v>
      </c>
      <c r="Q527">
        <v>2</v>
      </c>
      <c r="R527">
        <v>2.2400000000000002</v>
      </c>
      <c r="S527">
        <v>1</v>
      </c>
      <c r="T527" t="b">
        <v>0</v>
      </c>
    </row>
    <row r="528" spans="1:20" x14ac:dyDescent="0.25">
      <c r="A528" t="s">
        <v>48</v>
      </c>
      <c r="B528">
        <v>63</v>
      </c>
      <c r="C528">
        <v>415</v>
      </c>
      <c r="D528" t="s">
        <v>29</v>
      </c>
      <c r="E528" t="s">
        <v>29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 x14ac:dyDescent="0.25">
      <c r="A529" t="s">
        <v>42</v>
      </c>
      <c r="B529">
        <v>152</v>
      </c>
      <c r="C529">
        <v>415</v>
      </c>
      <c r="D529" t="s">
        <v>29</v>
      </c>
      <c r="E529" t="s">
        <v>29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78.099999999999994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 x14ac:dyDescent="0.25">
      <c r="A530" t="s">
        <v>79</v>
      </c>
      <c r="B530">
        <v>147</v>
      </c>
      <c r="C530">
        <v>408</v>
      </c>
      <c r="D530" t="s">
        <v>29</v>
      </c>
      <c r="E530" t="s">
        <v>29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 x14ac:dyDescent="0.25">
      <c r="A531" t="s">
        <v>53</v>
      </c>
      <c r="B531">
        <v>112</v>
      </c>
      <c r="C531">
        <v>415</v>
      </c>
      <c r="D531" t="s">
        <v>29</v>
      </c>
      <c r="E531" t="s">
        <v>30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9.1999999999999993</v>
      </c>
      <c r="Q531">
        <v>4</v>
      </c>
      <c r="R531">
        <v>2.48</v>
      </c>
      <c r="S531">
        <v>2</v>
      </c>
      <c r="T531" t="b">
        <v>0</v>
      </c>
    </row>
    <row r="532" spans="1:20" x14ac:dyDescent="0.25">
      <c r="A532" t="s">
        <v>58</v>
      </c>
      <c r="B532">
        <v>120</v>
      </c>
      <c r="C532">
        <v>415</v>
      </c>
      <c r="D532" t="s">
        <v>29</v>
      </c>
      <c r="E532" t="s">
        <v>29</v>
      </c>
      <c r="F532">
        <v>0</v>
      </c>
      <c r="G532">
        <v>252</v>
      </c>
      <c r="H532">
        <v>120</v>
      </c>
      <c r="I532">
        <v>42.84</v>
      </c>
      <c r="J532">
        <v>150.19999999999999</v>
      </c>
      <c r="K532">
        <v>106</v>
      </c>
      <c r="L532">
        <v>12.77</v>
      </c>
      <c r="M532">
        <v>151.80000000000001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 x14ac:dyDescent="0.25">
      <c r="A533" t="s">
        <v>49</v>
      </c>
      <c r="B533">
        <v>171</v>
      </c>
      <c r="C533">
        <v>415</v>
      </c>
      <c r="D533" t="s">
        <v>29</v>
      </c>
      <c r="E533" t="s">
        <v>29</v>
      </c>
      <c r="F533">
        <v>0</v>
      </c>
      <c r="G533">
        <v>231.2</v>
      </c>
      <c r="H533">
        <v>135</v>
      </c>
      <c r="I533">
        <v>39.299999999999997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 x14ac:dyDescent="0.25">
      <c r="A534" t="s">
        <v>53</v>
      </c>
      <c r="B534">
        <v>101</v>
      </c>
      <c r="C534">
        <v>415</v>
      </c>
      <c r="D534" t="s">
        <v>29</v>
      </c>
      <c r="E534" t="s">
        <v>30</v>
      </c>
      <c r="F534">
        <v>33</v>
      </c>
      <c r="G534">
        <v>200.1</v>
      </c>
      <c r="H534">
        <v>108</v>
      </c>
      <c r="I534">
        <v>34.020000000000003</v>
      </c>
      <c r="J534">
        <v>188.9</v>
      </c>
      <c r="K534">
        <v>122</v>
      </c>
      <c r="L534">
        <v>16.059999999999999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4.1900000000000004</v>
      </c>
      <c r="S534">
        <v>0</v>
      </c>
      <c r="T534" t="b">
        <v>0</v>
      </c>
    </row>
    <row r="535" spans="1:20" x14ac:dyDescent="0.25">
      <c r="A535" t="s">
        <v>50</v>
      </c>
      <c r="B535">
        <v>151</v>
      </c>
      <c r="C535">
        <v>408</v>
      </c>
      <c r="D535" t="s">
        <v>29</v>
      </c>
      <c r="E535" t="s">
        <v>29</v>
      </c>
      <c r="F535">
        <v>0</v>
      </c>
      <c r="G535">
        <v>175.3</v>
      </c>
      <c r="H535">
        <v>106</v>
      </c>
      <c r="I535">
        <v>29.8</v>
      </c>
      <c r="J535">
        <v>144.30000000000001</v>
      </c>
      <c r="K535">
        <v>87</v>
      </c>
      <c r="L535">
        <v>12.27</v>
      </c>
      <c r="M535">
        <v>160.19999999999999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 x14ac:dyDescent="0.25">
      <c r="A536" t="s">
        <v>46</v>
      </c>
      <c r="B536">
        <v>60</v>
      </c>
      <c r="C536">
        <v>408</v>
      </c>
      <c r="D536" t="s">
        <v>29</v>
      </c>
      <c r="E536" t="s">
        <v>29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 x14ac:dyDescent="0.25">
      <c r="A537" t="s">
        <v>35</v>
      </c>
      <c r="B537">
        <v>42</v>
      </c>
      <c r="C537">
        <v>408</v>
      </c>
      <c r="D537" t="s">
        <v>29</v>
      </c>
      <c r="E537" t="s">
        <v>29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152.19999999999999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 x14ac:dyDescent="0.25">
      <c r="A538" t="s">
        <v>60</v>
      </c>
      <c r="B538">
        <v>84</v>
      </c>
      <c r="C538">
        <v>408</v>
      </c>
      <c r="D538" t="s">
        <v>29</v>
      </c>
      <c r="E538" t="s">
        <v>29</v>
      </c>
      <c r="F538">
        <v>0</v>
      </c>
      <c r="G538">
        <v>217.1</v>
      </c>
      <c r="H538">
        <v>99</v>
      </c>
      <c r="I538">
        <v>36.909999999999997</v>
      </c>
      <c r="J538">
        <v>236</v>
      </c>
      <c r="K538">
        <v>68</v>
      </c>
      <c r="L538">
        <v>20.059999999999999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 x14ac:dyDescent="0.25">
      <c r="A539" t="s">
        <v>70</v>
      </c>
      <c r="B539">
        <v>65</v>
      </c>
      <c r="C539">
        <v>510</v>
      </c>
      <c r="D539" t="s">
        <v>29</v>
      </c>
      <c r="E539" t="s">
        <v>29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8.0299999999999994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 x14ac:dyDescent="0.25">
      <c r="A540" t="s">
        <v>44</v>
      </c>
      <c r="B540">
        <v>75</v>
      </c>
      <c r="C540">
        <v>415</v>
      </c>
      <c r="D540" t="s">
        <v>30</v>
      </c>
      <c r="E540" t="s">
        <v>29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8.6999999999999993</v>
      </c>
      <c r="Q540">
        <v>9</v>
      </c>
      <c r="R540">
        <v>2.35</v>
      </c>
      <c r="S540">
        <v>1</v>
      </c>
      <c r="T540" t="b">
        <v>1</v>
      </c>
    </row>
    <row r="541" spans="1:20" x14ac:dyDescent="0.25">
      <c r="A541" t="s">
        <v>48</v>
      </c>
      <c r="B541">
        <v>189</v>
      </c>
      <c r="C541">
        <v>415</v>
      </c>
      <c r="D541" t="s">
        <v>29</v>
      </c>
      <c r="E541" t="s">
        <v>30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 x14ac:dyDescent="0.25">
      <c r="A542" t="s">
        <v>46</v>
      </c>
      <c r="B542">
        <v>63</v>
      </c>
      <c r="C542">
        <v>415</v>
      </c>
      <c r="D542" t="s">
        <v>29</v>
      </c>
      <c r="E542" t="s">
        <v>30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2.3199999999999998</v>
      </c>
      <c r="S542">
        <v>1</v>
      </c>
      <c r="T542" t="b">
        <v>0</v>
      </c>
    </row>
    <row r="543" spans="1:20" x14ac:dyDescent="0.25">
      <c r="A543" t="s">
        <v>75</v>
      </c>
      <c r="B543">
        <v>108</v>
      </c>
      <c r="C543">
        <v>510</v>
      </c>
      <c r="D543" t="s">
        <v>29</v>
      </c>
      <c r="E543" t="s">
        <v>29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16.989999999999998</v>
      </c>
      <c r="M543">
        <v>216.1</v>
      </c>
      <c r="N543">
        <v>107</v>
      </c>
      <c r="O543">
        <v>9.7200000000000006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 x14ac:dyDescent="0.25">
      <c r="A544" t="s">
        <v>46</v>
      </c>
      <c r="B544">
        <v>71</v>
      </c>
      <c r="C544">
        <v>415</v>
      </c>
      <c r="D544" t="s">
        <v>29</v>
      </c>
      <c r="E544" t="s">
        <v>29</v>
      </c>
      <c r="F544">
        <v>0</v>
      </c>
      <c r="G544">
        <v>277.5</v>
      </c>
      <c r="H544">
        <v>104</v>
      </c>
      <c r="I544">
        <v>47.18</v>
      </c>
      <c r="J544">
        <v>131.80000000000001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8.1999999999999993</v>
      </c>
      <c r="Q544">
        <v>2</v>
      </c>
      <c r="R544">
        <v>2.21</v>
      </c>
      <c r="S544">
        <v>1</v>
      </c>
      <c r="T544" t="b">
        <v>0</v>
      </c>
    </row>
    <row r="545" spans="1:20" x14ac:dyDescent="0.25">
      <c r="A545" t="s">
        <v>73</v>
      </c>
      <c r="B545">
        <v>137</v>
      </c>
      <c r="C545">
        <v>510</v>
      </c>
      <c r="D545" t="s">
        <v>29</v>
      </c>
      <c r="E545" t="s">
        <v>29</v>
      </c>
      <c r="F545">
        <v>0</v>
      </c>
      <c r="G545">
        <v>147.19999999999999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10.199999999999999</v>
      </c>
      <c r="Q545">
        <v>4</v>
      </c>
      <c r="R545">
        <v>2.75</v>
      </c>
      <c r="S545">
        <v>1</v>
      </c>
      <c r="T545" t="b">
        <v>0</v>
      </c>
    </row>
    <row r="546" spans="1:20" x14ac:dyDescent="0.25">
      <c r="A546" t="s">
        <v>48</v>
      </c>
      <c r="B546">
        <v>82</v>
      </c>
      <c r="C546">
        <v>408</v>
      </c>
      <c r="D546" t="s">
        <v>29</v>
      </c>
      <c r="E546" t="s">
        <v>29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 x14ac:dyDescent="0.25">
      <c r="A547" t="s">
        <v>40</v>
      </c>
      <c r="B547">
        <v>96</v>
      </c>
      <c r="C547">
        <v>415</v>
      </c>
      <c r="D547" t="s">
        <v>29</v>
      </c>
      <c r="E547" t="s">
        <v>29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8.9700000000000006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 x14ac:dyDescent="0.25">
      <c r="A548" t="s">
        <v>51</v>
      </c>
      <c r="B548">
        <v>37</v>
      </c>
      <c r="C548">
        <v>415</v>
      </c>
      <c r="D548" t="s">
        <v>29</v>
      </c>
      <c r="E548" t="s">
        <v>29</v>
      </c>
      <c r="F548">
        <v>0</v>
      </c>
      <c r="G548">
        <v>206</v>
      </c>
      <c r="H548">
        <v>89</v>
      </c>
      <c r="I548">
        <v>35.020000000000003</v>
      </c>
      <c r="J548">
        <v>186</v>
      </c>
      <c r="K548">
        <v>88</v>
      </c>
      <c r="L548">
        <v>15.81</v>
      </c>
      <c r="M548">
        <v>307.10000000000002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 x14ac:dyDescent="0.25">
      <c r="A549" t="s">
        <v>39</v>
      </c>
      <c r="B549">
        <v>98</v>
      </c>
      <c r="C549">
        <v>415</v>
      </c>
      <c r="D549" t="s">
        <v>29</v>
      </c>
      <c r="E549" t="s">
        <v>29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 x14ac:dyDescent="0.25">
      <c r="A550" t="s">
        <v>37</v>
      </c>
      <c r="B550">
        <v>121</v>
      </c>
      <c r="C550">
        <v>415</v>
      </c>
      <c r="D550" t="s">
        <v>29</v>
      </c>
      <c r="E550" t="s">
        <v>29</v>
      </c>
      <c r="F550">
        <v>0</v>
      </c>
      <c r="G550">
        <v>103.3</v>
      </c>
      <c r="H550">
        <v>110</v>
      </c>
      <c r="I550">
        <v>17.559999999999999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 x14ac:dyDescent="0.25">
      <c r="A551" t="s">
        <v>38</v>
      </c>
      <c r="B551">
        <v>94</v>
      </c>
      <c r="C551">
        <v>415</v>
      </c>
      <c r="D551" t="s">
        <v>29</v>
      </c>
      <c r="E551" t="s">
        <v>29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128.19999999999999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 x14ac:dyDescent="0.25">
      <c r="A552" t="s">
        <v>28</v>
      </c>
      <c r="B552">
        <v>99</v>
      </c>
      <c r="C552">
        <v>415</v>
      </c>
      <c r="D552" t="s">
        <v>29</v>
      </c>
      <c r="E552" t="s">
        <v>29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 x14ac:dyDescent="0.25">
      <c r="A553" t="s">
        <v>40</v>
      </c>
      <c r="B553">
        <v>163</v>
      </c>
      <c r="C553">
        <v>510</v>
      </c>
      <c r="D553" t="s">
        <v>29</v>
      </c>
      <c r="E553" t="s">
        <v>30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16.100000000000001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 x14ac:dyDescent="0.25">
      <c r="A554" t="s">
        <v>36</v>
      </c>
      <c r="B554">
        <v>161</v>
      </c>
      <c r="C554">
        <v>510</v>
      </c>
      <c r="D554" t="s">
        <v>29</v>
      </c>
      <c r="E554" t="s">
        <v>29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 x14ac:dyDescent="0.25">
      <c r="A555" t="s">
        <v>78</v>
      </c>
      <c r="B555">
        <v>99</v>
      </c>
      <c r="C555">
        <v>415</v>
      </c>
      <c r="D555" t="s">
        <v>29</v>
      </c>
      <c r="E555" t="s">
        <v>29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2.2999999999999998</v>
      </c>
      <c r="S555">
        <v>1</v>
      </c>
      <c r="T555" t="b">
        <v>0</v>
      </c>
    </row>
    <row r="556" spans="1:20" x14ac:dyDescent="0.25">
      <c r="A556" t="s">
        <v>46</v>
      </c>
      <c r="B556">
        <v>108</v>
      </c>
      <c r="C556">
        <v>415</v>
      </c>
      <c r="D556" t="s">
        <v>29</v>
      </c>
      <c r="E556" t="s">
        <v>29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16.600000000000001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 x14ac:dyDescent="0.25">
      <c r="A557" t="s">
        <v>80</v>
      </c>
      <c r="B557">
        <v>84</v>
      </c>
      <c r="C557">
        <v>510</v>
      </c>
      <c r="D557" t="s">
        <v>29</v>
      </c>
      <c r="E557" t="s">
        <v>30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2.0499999999999998</v>
      </c>
      <c r="S557">
        <v>3</v>
      </c>
      <c r="T557" t="b">
        <v>0</v>
      </c>
    </row>
    <row r="558" spans="1:20" x14ac:dyDescent="0.25">
      <c r="A558" t="s">
        <v>69</v>
      </c>
      <c r="B558">
        <v>139</v>
      </c>
      <c r="C558">
        <v>510</v>
      </c>
      <c r="D558" t="s">
        <v>29</v>
      </c>
      <c r="E558" t="s">
        <v>29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9.6999999999999993</v>
      </c>
      <c r="Q558">
        <v>3</v>
      </c>
      <c r="R558">
        <v>2.62</v>
      </c>
      <c r="S558">
        <v>2</v>
      </c>
      <c r="T558" t="b">
        <v>0</v>
      </c>
    </row>
    <row r="559" spans="1:20" x14ac:dyDescent="0.25">
      <c r="A559" t="s">
        <v>76</v>
      </c>
      <c r="B559">
        <v>69</v>
      </c>
      <c r="C559">
        <v>510</v>
      </c>
      <c r="D559" t="s">
        <v>29</v>
      </c>
      <c r="E559" t="s">
        <v>29</v>
      </c>
      <c r="F559">
        <v>0</v>
      </c>
      <c r="G559">
        <v>195.3</v>
      </c>
      <c r="H559">
        <v>70</v>
      </c>
      <c r="I559">
        <v>33.200000000000003</v>
      </c>
      <c r="J559">
        <v>216.7</v>
      </c>
      <c r="K559">
        <v>108</v>
      </c>
      <c r="L559">
        <v>18.420000000000002</v>
      </c>
      <c r="M559">
        <v>259.89999999999998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 x14ac:dyDescent="0.25">
      <c r="A560" t="s">
        <v>49</v>
      </c>
      <c r="B560">
        <v>129</v>
      </c>
      <c r="C560">
        <v>510</v>
      </c>
      <c r="D560" t="s">
        <v>29</v>
      </c>
      <c r="E560" t="s">
        <v>29</v>
      </c>
      <c r="F560">
        <v>0</v>
      </c>
      <c r="G560">
        <v>143.69999999999999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 x14ac:dyDescent="0.25">
      <c r="A561" t="s">
        <v>36</v>
      </c>
      <c r="B561">
        <v>106</v>
      </c>
      <c r="C561">
        <v>415</v>
      </c>
      <c r="D561" t="s">
        <v>29</v>
      </c>
      <c r="E561" t="s">
        <v>29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 x14ac:dyDescent="0.25">
      <c r="A562" t="s">
        <v>63</v>
      </c>
      <c r="B562">
        <v>168</v>
      </c>
      <c r="C562">
        <v>415</v>
      </c>
      <c r="D562" t="s">
        <v>29</v>
      </c>
      <c r="E562" t="s">
        <v>30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17.989999999999998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 x14ac:dyDescent="0.25">
      <c r="A563" t="s">
        <v>53</v>
      </c>
      <c r="B563">
        <v>57</v>
      </c>
      <c r="C563">
        <v>408</v>
      </c>
      <c r="D563" t="s">
        <v>30</v>
      </c>
      <c r="E563" t="s">
        <v>30</v>
      </c>
      <c r="F563">
        <v>30</v>
      </c>
      <c r="G563">
        <v>234.5</v>
      </c>
      <c r="H563">
        <v>130</v>
      </c>
      <c r="I563">
        <v>39.869999999999997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 x14ac:dyDescent="0.25">
      <c r="A564" t="s">
        <v>47</v>
      </c>
      <c r="B564">
        <v>67</v>
      </c>
      <c r="C564">
        <v>415</v>
      </c>
      <c r="D564" t="s">
        <v>29</v>
      </c>
      <c r="E564" t="s">
        <v>29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 x14ac:dyDescent="0.25">
      <c r="A565" t="s">
        <v>54</v>
      </c>
      <c r="B565">
        <v>127</v>
      </c>
      <c r="C565">
        <v>408</v>
      </c>
      <c r="D565" t="s">
        <v>29</v>
      </c>
      <c r="E565" t="s">
        <v>29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8.2799999999999994</v>
      </c>
      <c r="P565">
        <v>9.3000000000000007</v>
      </c>
      <c r="Q565">
        <v>3</v>
      </c>
      <c r="R565">
        <v>2.5099999999999998</v>
      </c>
      <c r="S565">
        <v>1</v>
      </c>
      <c r="T565" t="b">
        <v>0</v>
      </c>
    </row>
    <row r="566" spans="1:20" x14ac:dyDescent="0.25">
      <c r="A566" t="s">
        <v>54</v>
      </c>
      <c r="B566">
        <v>78</v>
      </c>
      <c r="C566">
        <v>510</v>
      </c>
      <c r="D566" t="s">
        <v>29</v>
      </c>
      <c r="E566" t="s">
        <v>29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 x14ac:dyDescent="0.25">
      <c r="A567" t="s">
        <v>80</v>
      </c>
      <c r="B567">
        <v>100</v>
      </c>
      <c r="C567">
        <v>415</v>
      </c>
      <c r="D567" t="s">
        <v>29</v>
      </c>
      <c r="E567" t="s">
        <v>30</v>
      </c>
      <c r="F567">
        <v>38</v>
      </c>
      <c r="G567">
        <v>177.1</v>
      </c>
      <c r="H567">
        <v>88</v>
      </c>
      <c r="I567">
        <v>30.11</v>
      </c>
      <c r="J567">
        <v>163.69999999999999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 x14ac:dyDescent="0.25">
      <c r="A568" t="s">
        <v>71</v>
      </c>
      <c r="B568">
        <v>113</v>
      </c>
      <c r="C568">
        <v>415</v>
      </c>
      <c r="D568" t="s">
        <v>29</v>
      </c>
      <c r="E568" t="s">
        <v>29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16.440000000000001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 x14ac:dyDescent="0.25">
      <c r="A569" t="s">
        <v>74</v>
      </c>
      <c r="B569">
        <v>78</v>
      </c>
      <c r="C569">
        <v>510</v>
      </c>
      <c r="D569" t="s">
        <v>29</v>
      </c>
      <c r="E569" t="s">
        <v>29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9.3000000000000007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 x14ac:dyDescent="0.25">
      <c r="A570" t="s">
        <v>58</v>
      </c>
      <c r="B570">
        <v>129</v>
      </c>
      <c r="C570">
        <v>510</v>
      </c>
      <c r="D570" t="s">
        <v>29</v>
      </c>
      <c r="E570" t="s">
        <v>30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16.399999999999999</v>
      </c>
      <c r="Q570">
        <v>5</v>
      </c>
      <c r="R570">
        <v>4.43</v>
      </c>
      <c r="S570">
        <v>1</v>
      </c>
      <c r="T570" t="b">
        <v>0</v>
      </c>
    </row>
    <row r="571" spans="1:20" x14ac:dyDescent="0.25">
      <c r="A571" t="s">
        <v>76</v>
      </c>
      <c r="B571">
        <v>57</v>
      </c>
      <c r="C571">
        <v>510</v>
      </c>
      <c r="D571" t="s">
        <v>29</v>
      </c>
      <c r="E571" t="s">
        <v>29</v>
      </c>
      <c r="F571">
        <v>0</v>
      </c>
      <c r="G571">
        <v>149.30000000000001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 x14ac:dyDescent="0.25">
      <c r="A572" t="s">
        <v>37</v>
      </c>
      <c r="B572">
        <v>82</v>
      </c>
      <c r="C572">
        <v>408</v>
      </c>
      <c r="D572" t="s">
        <v>29</v>
      </c>
      <c r="E572" t="s">
        <v>29</v>
      </c>
      <c r="F572">
        <v>0</v>
      </c>
      <c r="G572">
        <v>143.69999999999999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 x14ac:dyDescent="0.25">
      <c r="A573" t="s">
        <v>49</v>
      </c>
      <c r="B573">
        <v>94</v>
      </c>
      <c r="C573">
        <v>510</v>
      </c>
      <c r="D573" t="s">
        <v>29</v>
      </c>
      <c r="E573" t="s">
        <v>29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9.9700000000000006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 x14ac:dyDescent="0.25">
      <c r="A574" t="s">
        <v>49</v>
      </c>
      <c r="B574">
        <v>90</v>
      </c>
      <c r="C574">
        <v>415</v>
      </c>
      <c r="D574" t="s">
        <v>29</v>
      </c>
      <c r="E574" t="s">
        <v>29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 x14ac:dyDescent="0.25">
      <c r="A575" t="s">
        <v>60</v>
      </c>
      <c r="B575">
        <v>48</v>
      </c>
      <c r="C575">
        <v>510</v>
      </c>
      <c r="D575" t="s">
        <v>29</v>
      </c>
      <c r="E575" t="s">
        <v>29</v>
      </c>
      <c r="F575">
        <v>0</v>
      </c>
      <c r="G575">
        <v>300.39999999999998</v>
      </c>
      <c r="H575">
        <v>94</v>
      </c>
      <c r="I575">
        <v>51.07</v>
      </c>
      <c r="J575">
        <v>133.19999999999999</v>
      </c>
      <c r="K575">
        <v>103</v>
      </c>
      <c r="L575">
        <v>11.32</v>
      </c>
      <c r="M575">
        <v>197.4</v>
      </c>
      <c r="N575">
        <v>94</v>
      </c>
      <c r="O575">
        <v>8.8800000000000008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 x14ac:dyDescent="0.25">
      <c r="A576" t="s">
        <v>67</v>
      </c>
      <c r="B576">
        <v>85</v>
      </c>
      <c r="C576">
        <v>408</v>
      </c>
      <c r="D576" t="s">
        <v>29</v>
      </c>
      <c r="E576" t="s">
        <v>30</v>
      </c>
      <c r="F576">
        <v>37</v>
      </c>
      <c r="G576">
        <v>229.6</v>
      </c>
      <c r="H576">
        <v>123</v>
      </c>
      <c r="I576">
        <v>39.03</v>
      </c>
      <c r="J576">
        <v>132.30000000000001</v>
      </c>
      <c r="K576">
        <v>90</v>
      </c>
      <c r="L576">
        <v>11.25</v>
      </c>
      <c r="M576">
        <v>211.9</v>
      </c>
      <c r="N576">
        <v>76</v>
      </c>
      <c r="O576">
        <v>9.5399999999999991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 x14ac:dyDescent="0.25">
      <c r="A577" t="s">
        <v>32</v>
      </c>
      <c r="B577">
        <v>93</v>
      </c>
      <c r="C577">
        <v>415</v>
      </c>
      <c r="D577" t="s">
        <v>30</v>
      </c>
      <c r="E577" t="s">
        <v>30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 x14ac:dyDescent="0.25">
      <c r="A578" t="s">
        <v>69</v>
      </c>
      <c r="B578">
        <v>169</v>
      </c>
      <c r="C578">
        <v>415</v>
      </c>
      <c r="D578" t="s">
        <v>30</v>
      </c>
      <c r="E578" t="s">
        <v>29</v>
      </c>
      <c r="F578">
        <v>0</v>
      </c>
      <c r="G578">
        <v>57.1</v>
      </c>
      <c r="H578">
        <v>98</v>
      </c>
      <c r="I578">
        <v>9.7100000000000009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 x14ac:dyDescent="0.25">
      <c r="A579" t="s">
        <v>61</v>
      </c>
      <c r="B579">
        <v>68</v>
      </c>
      <c r="C579">
        <v>415</v>
      </c>
      <c r="D579" t="s">
        <v>29</v>
      </c>
      <c r="E579" t="s">
        <v>29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8.5399999999999991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 x14ac:dyDescent="0.25">
      <c r="A580" t="s">
        <v>71</v>
      </c>
      <c r="B580">
        <v>91</v>
      </c>
      <c r="C580">
        <v>415</v>
      </c>
      <c r="D580" t="s">
        <v>30</v>
      </c>
      <c r="E580" t="s">
        <v>29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 x14ac:dyDescent="0.25">
      <c r="A581" t="s">
        <v>28</v>
      </c>
      <c r="B581">
        <v>68</v>
      </c>
      <c r="C581">
        <v>510</v>
      </c>
      <c r="D581" t="s">
        <v>29</v>
      </c>
      <c r="E581" t="s">
        <v>29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9.4600000000000009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 x14ac:dyDescent="0.25">
      <c r="A582" t="s">
        <v>74</v>
      </c>
      <c r="B582">
        <v>101</v>
      </c>
      <c r="C582">
        <v>510</v>
      </c>
      <c r="D582" t="s">
        <v>29</v>
      </c>
      <c r="E582" t="s">
        <v>29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8.8000000000000007</v>
      </c>
      <c r="Q582">
        <v>8</v>
      </c>
      <c r="R582">
        <v>2.38</v>
      </c>
      <c r="S582">
        <v>1</v>
      </c>
      <c r="T582" t="b">
        <v>0</v>
      </c>
    </row>
    <row r="583" spans="1:20" x14ac:dyDescent="0.25">
      <c r="A583" t="s">
        <v>61</v>
      </c>
      <c r="B583">
        <v>67</v>
      </c>
      <c r="C583">
        <v>510</v>
      </c>
      <c r="D583" t="s">
        <v>29</v>
      </c>
      <c r="E583" t="s">
        <v>30</v>
      </c>
      <c r="F583">
        <v>20</v>
      </c>
      <c r="G583">
        <v>230.6</v>
      </c>
      <c r="H583">
        <v>40</v>
      </c>
      <c r="I583">
        <v>39.200000000000003</v>
      </c>
      <c r="J583">
        <v>189.1</v>
      </c>
      <c r="K583">
        <v>58</v>
      </c>
      <c r="L583">
        <v>16.07</v>
      </c>
      <c r="M583">
        <v>162.19999999999999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 x14ac:dyDescent="0.25">
      <c r="A584" t="s">
        <v>48</v>
      </c>
      <c r="B584">
        <v>66</v>
      </c>
      <c r="C584">
        <v>415</v>
      </c>
      <c r="D584" t="s">
        <v>29</v>
      </c>
      <c r="E584" t="s">
        <v>29</v>
      </c>
      <c r="F584">
        <v>0</v>
      </c>
      <c r="G584">
        <v>34</v>
      </c>
      <c r="H584">
        <v>133</v>
      </c>
      <c r="I584">
        <v>5.78</v>
      </c>
      <c r="J584">
        <v>278.60000000000002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 x14ac:dyDescent="0.25">
      <c r="A585" t="s">
        <v>45</v>
      </c>
      <c r="B585">
        <v>116</v>
      </c>
      <c r="C585">
        <v>415</v>
      </c>
      <c r="D585" t="s">
        <v>29</v>
      </c>
      <c r="E585" t="s">
        <v>30</v>
      </c>
      <c r="F585">
        <v>17</v>
      </c>
      <c r="G585">
        <v>193.4</v>
      </c>
      <c r="H585">
        <v>112</v>
      </c>
      <c r="I585">
        <v>32.880000000000003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 x14ac:dyDescent="0.25">
      <c r="A586" t="s">
        <v>52</v>
      </c>
      <c r="B586">
        <v>158</v>
      </c>
      <c r="C586">
        <v>408</v>
      </c>
      <c r="D586" t="s">
        <v>29</v>
      </c>
      <c r="E586" t="s">
        <v>29</v>
      </c>
      <c r="F586">
        <v>0</v>
      </c>
      <c r="G586">
        <v>202</v>
      </c>
      <c r="H586">
        <v>126</v>
      </c>
      <c r="I586">
        <v>34.340000000000003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8.7899999999999991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 x14ac:dyDescent="0.25">
      <c r="A587" t="s">
        <v>40</v>
      </c>
      <c r="B587">
        <v>78</v>
      </c>
      <c r="C587">
        <v>415</v>
      </c>
      <c r="D587" t="s">
        <v>29</v>
      </c>
      <c r="E587" t="s">
        <v>29</v>
      </c>
      <c r="F587">
        <v>0</v>
      </c>
      <c r="G587">
        <v>191.7</v>
      </c>
      <c r="H587">
        <v>122</v>
      </c>
      <c r="I587">
        <v>32.590000000000003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 x14ac:dyDescent="0.25">
      <c r="A588" t="s">
        <v>65</v>
      </c>
      <c r="B588">
        <v>119</v>
      </c>
      <c r="C588">
        <v>415</v>
      </c>
      <c r="D588" t="s">
        <v>29</v>
      </c>
      <c r="E588" t="s">
        <v>30</v>
      </c>
      <c r="F588">
        <v>26</v>
      </c>
      <c r="G588">
        <v>161.30000000000001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 x14ac:dyDescent="0.25">
      <c r="A589" t="s">
        <v>74</v>
      </c>
      <c r="B589">
        <v>120</v>
      </c>
      <c r="C589">
        <v>415</v>
      </c>
      <c r="D589" t="s">
        <v>29</v>
      </c>
      <c r="E589" t="s">
        <v>29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10.119999999999999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 x14ac:dyDescent="0.25">
      <c r="A590" t="s">
        <v>71</v>
      </c>
      <c r="B590">
        <v>155</v>
      </c>
      <c r="C590">
        <v>510</v>
      </c>
      <c r="D590" t="s">
        <v>29</v>
      </c>
      <c r="E590" t="s">
        <v>29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 x14ac:dyDescent="0.25">
      <c r="A591" t="s">
        <v>52</v>
      </c>
      <c r="B591">
        <v>106</v>
      </c>
      <c r="C591">
        <v>408</v>
      </c>
      <c r="D591" t="s">
        <v>29</v>
      </c>
      <c r="E591" t="s">
        <v>29</v>
      </c>
      <c r="F591">
        <v>0</v>
      </c>
      <c r="G591">
        <v>220.7</v>
      </c>
      <c r="H591">
        <v>120</v>
      </c>
      <c r="I591">
        <v>37.520000000000003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8.6999999999999993</v>
      </c>
      <c r="Q591">
        <v>5</v>
      </c>
      <c r="R591">
        <v>2.35</v>
      </c>
      <c r="S591">
        <v>1</v>
      </c>
      <c r="T591" t="b">
        <v>0</v>
      </c>
    </row>
    <row r="592" spans="1:20" x14ac:dyDescent="0.25">
      <c r="A592" t="s">
        <v>34</v>
      </c>
      <c r="B592">
        <v>146</v>
      </c>
      <c r="C592">
        <v>415</v>
      </c>
      <c r="D592" t="s">
        <v>29</v>
      </c>
      <c r="E592" t="s">
        <v>30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148.19999999999999</v>
      </c>
      <c r="N592">
        <v>107</v>
      </c>
      <c r="O592">
        <v>6.67</v>
      </c>
      <c r="P592">
        <v>8.1999999999999993</v>
      </c>
      <c r="Q592">
        <v>4</v>
      </c>
      <c r="R592">
        <v>2.21</v>
      </c>
      <c r="S592">
        <v>3</v>
      </c>
      <c r="T592" t="b">
        <v>0</v>
      </c>
    </row>
    <row r="593" spans="1:20" x14ac:dyDescent="0.25">
      <c r="A593" t="s">
        <v>36</v>
      </c>
      <c r="B593">
        <v>101</v>
      </c>
      <c r="C593">
        <v>415</v>
      </c>
      <c r="D593" t="s">
        <v>29</v>
      </c>
      <c r="E593" t="s">
        <v>30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 x14ac:dyDescent="0.25">
      <c r="A594" t="s">
        <v>46</v>
      </c>
      <c r="B594">
        <v>22</v>
      </c>
      <c r="C594">
        <v>510</v>
      </c>
      <c r="D594" t="s">
        <v>29</v>
      </c>
      <c r="E594" t="s">
        <v>30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128.80000000000001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 x14ac:dyDescent="0.25">
      <c r="A595" t="s">
        <v>70</v>
      </c>
      <c r="B595">
        <v>41</v>
      </c>
      <c r="C595">
        <v>415</v>
      </c>
      <c r="D595" t="s">
        <v>29</v>
      </c>
      <c r="E595" t="s">
        <v>29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 x14ac:dyDescent="0.25">
      <c r="A596" t="s">
        <v>58</v>
      </c>
      <c r="B596">
        <v>69</v>
      </c>
      <c r="C596">
        <v>415</v>
      </c>
      <c r="D596" t="s">
        <v>29</v>
      </c>
      <c r="E596" t="s">
        <v>29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 x14ac:dyDescent="0.25">
      <c r="A597" t="s">
        <v>49</v>
      </c>
      <c r="B597">
        <v>33</v>
      </c>
      <c r="C597">
        <v>415</v>
      </c>
      <c r="D597" t="s">
        <v>29</v>
      </c>
      <c r="E597" t="s">
        <v>29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148.69999999999999</v>
      </c>
      <c r="N597">
        <v>71</v>
      </c>
      <c r="O597">
        <v>6.69</v>
      </c>
      <c r="P597">
        <v>9.8000000000000007</v>
      </c>
      <c r="Q597">
        <v>14</v>
      </c>
      <c r="R597">
        <v>2.65</v>
      </c>
      <c r="S597">
        <v>2</v>
      </c>
      <c r="T597" t="b">
        <v>0</v>
      </c>
    </row>
    <row r="598" spans="1:20" x14ac:dyDescent="0.25">
      <c r="A598" t="s">
        <v>61</v>
      </c>
      <c r="B598">
        <v>112</v>
      </c>
      <c r="C598">
        <v>415</v>
      </c>
      <c r="D598" t="s">
        <v>29</v>
      </c>
      <c r="E598" t="s">
        <v>29</v>
      </c>
      <c r="F598">
        <v>0</v>
      </c>
      <c r="G598">
        <v>115.8</v>
      </c>
      <c r="H598">
        <v>108</v>
      </c>
      <c r="I598">
        <v>19.690000000000001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 x14ac:dyDescent="0.25">
      <c r="A599" t="s">
        <v>68</v>
      </c>
      <c r="B599">
        <v>136</v>
      </c>
      <c r="C599">
        <v>415</v>
      </c>
      <c r="D599" t="s">
        <v>29</v>
      </c>
      <c r="E599" t="s">
        <v>30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 x14ac:dyDescent="0.25">
      <c r="A600" t="s">
        <v>64</v>
      </c>
      <c r="B600">
        <v>128</v>
      </c>
      <c r="C600">
        <v>510</v>
      </c>
      <c r="D600" t="s">
        <v>29</v>
      </c>
      <c r="E600" t="s">
        <v>29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9.2899999999999991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 x14ac:dyDescent="0.25">
      <c r="A601" t="s">
        <v>64</v>
      </c>
      <c r="B601">
        <v>27</v>
      </c>
      <c r="C601">
        <v>408</v>
      </c>
      <c r="D601" t="s">
        <v>29</v>
      </c>
      <c r="E601" t="s">
        <v>29</v>
      </c>
      <c r="F601">
        <v>0</v>
      </c>
      <c r="G601">
        <v>201.2</v>
      </c>
      <c r="H601">
        <v>128</v>
      </c>
      <c r="I601">
        <v>34.200000000000003</v>
      </c>
      <c r="J601">
        <v>227.2</v>
      </c>
      <c r="K601">
        <v>100</v>
      </c>
      <c r="L601">
        <v>19.309999999999999</v>
      </c>
      <c r="M601">
        <v>145.80000000000001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 x14ac:dyDescent="0.25">
      <c r="A602" t="s">
        <v>49</v>
      </c>
      <c r="B602">
        <v>161</v>
      </c>
      <c r="C602">
        <v>415</v>
      </c>
      <c r="D602" t="s">
        <v>30</v>
      </c>
      <c r="E602" t="s">
        <v>29</v>
      </c>
      <c r="F602">
        <v>0</v>
      </c>
      <c r="G602">
        <v>189.6</v>
      </c>
      <c r="H602">
        <v>78</v>
      </c>
      <c r="I602">
        <v>32.229999999999997</v>
      </c>
      <c r="J602">
        <v>267.39999999999998</v>
      </c>
      <c r="K602">
        <v>117</v>
      </c>
      <c r="L602">
        <v>22.73</v>
      </c>
      <c r="M602">
        <v>184.5</v>
      </c>
      <c r="N602">
        <v>137</v>
      </c>
      <c r="O602">
        <v>8.3000000000000007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 x14ac:dyDescent="0.25">
      <c r="A603" t="s">
        <v>45</v>
      </c>
      <c r="B603">
        <v>120</v>
      </c>
      <c r="C603">
        <v>415</v>
      </c>
      <c r="D603" t="s">
        <v>29</v>
      </c>
      <c r="E603" t="s">
        <v>30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 x14ac:dyDescent="0.25">
      <c r="A604" t="s">
        <v>62</v>
      </c>
      <c r="B604">
        <v>113</v>
      </c>
      <c r="C604">
        <v>415</v>
      </c>
      <c r="D604" t="s">
        <v>29</v>
      </c>
      <c r="E604" t="s">
        <v>29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8.6999999999999993</v>
      </c>
      <c r="Q604">
        <v>6</v>
      </c>
      <c r="R604">
        <v>2.35</v>
      </c>
      <c r="S604">
        <v>2</v>
      </c>
      <c r="T604" t="b">
        <v>0</v>
      </c>
    </row>
    <row r="605" spans="1:20" x14ac:dyDescent="0.25">
      <c r="A605" t="s">
        <v>77</v>
      </c>
      <c r="B605">
        <v>122</v>
      </c>
      <c r="C605">
        <v>415</v>
      </c>
      <c r="D605" t="s">
        <v>30</v>
      </c>
      <c r="E605" t="s">
        <v>29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8.2100000000000009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 x14ac:dyDescent="0.25">
      <c r="A606" t="s">
        <v>37</v>
      </c>
      <c r="B606">
        <v>148</v>
      </c>
      <c r="C606">
        <v>415</v>
      </c>
      <c r="D606" t="s">
        <v>29</v>
      </c>
      <c r="E606" t="s">
        <v>30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10.029999999999999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4.0999999999999996</v>
      </c>
      <c r="S606">
        <v>2</v>
      </c>
      <c r="T606" t="b">
        <v>0</v>
      </c>
    </row>
    <row r="607" spans="1:20" x14ac:dyDescent="0.25">
      <c r="A607" t="s">
        <v>32</v>
      </c>
      <c r="B607">
        <v>74</v>
      </c>
      <c r="C607">
        <v>415</v>
      </c>
      <c r="D607" t="s">
        <v>29</v>
      </c>
      <c r="E607" t="s">
        <v>29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157.80000000000001</v>
      </c>
      <c r="N607">
        <v>101</v>
      </c>
      <c r="O607">
        <v>7.1</v>
      </c>
      <c r="P607">
        <v>9.6999999999999993</v>
      </c>
      <c r="Q607">
        <v>2</v>
      </c>
      <c r="R607">
        <v>2.62</v>
      </c>
      <c r="S607">
        <v>3</v>
      </c>
      <c r="T607" t="b">
        <v>0</v>
      </c>
    </row>
    <row r="608" spans="1:20" x14ac:dyDescent="0.25">
      <c r="A608" t="s">
        <v>40</v>
      </c>
      <c r="B608">
        <v>106</v>
      </c>
      <c r="C608">
        <v>415</v>
      </c>
      <c r="D608" t="s">
        <v>29</v>
      </c>
      <c r="E608" t="s">
        <v>29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 x14ac:dyDescent="0.25">
      <c r="A609" t="s">
        <v>66</v>
      </c>
      <c r="B609">
        <v>179</v>
      </c>
      <c r="C609">
        <v>415</v>
      </c>
      <c r="D609" t="s">
        <v>29</v>
      </c>
      <c r="E609" t="s">
        <v>29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16.239999999999998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 x14ac:dyDescent="0.25">
      <c r="A610" t="s">
        <v>41</v>
      </c>
      <c r="B610">
        <v>77</v>
      </c>
      <c r="C610">
        <v>510</v>
      </c>
      <c r="D610" t="s">
        <v>29</v>
      </c>
      <c r="E610" t="s">
        <v>29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17.600000000000001</v>
      </c>
      <c r="M610">
        <v>214.1</v>
      </c>
      <c r="N610">
        <v>91</v>
      </c>
      <c r="O610">
        <v>9.6300000000000008</v>
      </c>
      <c r="P610">
        <v>9.1999999999999993</v>
      </c>
      <c r="Q610">
        <v>7</v>
      </c>
      <c r="R610">
        <v>2.48</v>
      </c>
      <c r="S610">
        <v>0</v>
      </c>
      <c r="T610" t="b">
        <v>0</v>
      </c>
    </row>
    <row r="611" spans="1:20" x14ac:dyDescent="0.25">
      <c r="A611" t="s">
        <v>35</v>
      </c>
      <c r="B611">
        <v>127</v>
      </c>
      <c r="C611">
        <v>408</v>
      </c>
      <c r="D611" t="s">
        <v>30</v>
      </c>
      <c r="E611" t="s">
        <v>29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8.1999999999999993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 x14ac:dyDescent="0.25">
      <c r="A612" t="s">
        <v>58</v>
      </c>
      <c r="B612">
        <v>80</v>
      </c>
      <c r="C612">
        <v>415</v>
      </c>
      <c r="D612" t="s">
        <v>29</v>
      </c>
      <c r="E612" t="s">
        <v>29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16.899999999999999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 x14ac:dyDescent="0.25">
      <c r="A613" t="s">
        <v>34</v>
      </c>
      <c r="B613">
        <v>61</v>
      </c>
      <c r="C613">
        <v>415</v>
      </c>
      <c r="D613" t="s">
        <v>29</v>
      </c>
      <c r="E613" t="s">
        <v>30</v>
      </c>
      <c r="F613">
        <v>20</v>
      </c>
      <c r="G613">
        <v>254.4</v>
      </c>
      <c r="H613">
        <v>133</v>
      </c>
      <c r="I613">
        <v>43.25</v>
      </c>
      <c r="J613">
        <v>161.69999999999999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 x14ac:dyDescent="0.25">
      <c r="A614" t="s">
        <v>79</v>
      </c>
      <c r="B614">
        <v>135</v>
      </c>
      <c r="C614">
        <v>510</v>
      </c>
      <c r="D614" t="s">
        <v>30</v>
      </c>
      <c r="E614" t="s">
        <v>30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 x14ac:dyDescent="0.25">
      <c r="A615" t="s">
        <v>52</v>
      </c>
      <c r="B615">
        <v>115</v>
      </c>
      <c r="C615">
        <v>415</v>
      </c>
      <c r="D615" t="s">
        <v>29</v>
      </c>
      <c r="E615" t="s">
        <v>30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 x14ac:dyDescent="0.25">
      <c r="A616" t="s">
        <v>73</v>
      </c>
      <c r="B616">
        <v>107</v>
      </c>
      <c r="C616">
        <v>510</v>
      </c>
      <c r="D616" t="s">
        <v>30</v>
      </c>
      <c r="E616" t="s">
        <v>29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153.80000000000001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 x14ac:dyDescent="0.25">
      <c r="A617" t="s">
        <v>37</v>
      </c>
      <c r="B617">
        <v>112</v>
      </c>
      <c r="C617">
        <v>415</v>
      </c>
      <c r="D617" t="s">
        <v>30</v>
      </c>
      <c r="E617" t="s">
        <v>29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17.079999999999998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 x14ac:dyDescent="0.25">
      <c r="A618" t="s">
        <v>28</v>
      </c>
      <c r="B618">
        <v>103</v>
      </c>
      <c r="C618">
        <v>408</v>
      </c>
      <c r="D618" t="s">
        <v>30</v>
      </c>
      <c r="E618" t="s">
        <v>29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 x14ac:dyDescent="0.25">
      <c r="A619" t="s">
        <v>77</v>
      </c>
      <c r="B619">
        <v>69</v>
      </c>
      <c r="C619">
        <v>415</v>
      </c>
      <c r="D619" t="s">
        <v>29</v>
      </c>
      <c r="E619" t="s">
        <v>29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 x14ac:dyDescent="0.25">
      <c r="A620" t="s">
        <v>63</v>
      </c>
      <c r="B620">
        <v>85</v>
      </c>
      <c r="C620">
        <v>408</v>
      </c>
      <c r="D620" t="s">
        <v>29</v>
      </c>
      <c r="E620" t="s">
        <v>29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 x14ac:dyDescent="0.25">
      <c r="A621" t="s">
        <v>32</v>
      </c>
      <c r="B621">
        <v>24</v>
      </c>
      <c r="C621">
        <v>408</v>
      </c>
      <c r="D621" t="s">
        <v>29</v>
      </c>
      <c r="E621" t="s">
        <v>29</v>
      </c>
      <c r="F621">
        <v>0</v>
      </c>
      <c r="G621">
        <v>265.60000000000002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8.2100000000000009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 x14ac:dyDescent="0.25">
      <c r="A622" t="s">
        <v>34</v>
      </c>
      <c r="B622">
        <v>90</v>
      </c>
      <c r="C622">
        <v>415</v>
      </c>
      <c r="D622" t="s">
        <v>29</v>
      </c>
      <c r="E622" t="s">
        <v>29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133.69999999999999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 x14ac:dyDescent="0.25">
      <c r="A623" t="s">
        <v>72</v>
      </c>
      <c r="B623">
        <v>137</v>
      </c>
      <c r="C623">
        <v>510</v>
      </c>
      <c r="D623" t="s">
        <v>29</v>
      </c>
      <c r="E623" t="s">
        <v>29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 x14ac:dyDescent="0.25">
      <c r="A624" t="s">
        <v>68</v>
      </c>
      <c r="B624">
        <v>69</v>
      </c>
      <c r="C624">
        <v>510</v>
      </c>
      <c r="D624" t="s">
        <v>30</v>
      </c>
      <c r="E624" t="s">
        <v>30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8.1999999999999993</v>
      </c>
      <c r="Q624">
        <v>2</v>
      </c>
      <c r="R624">
        <v>2.21</v>
      </c>
      <c r="S624">
        <v>1</v>
      </c>
      <c r="T624" t="b">
        <v>1</v>
      </c>
    </row>
    <row r="625" spans="1:20" x14ac:dyDescent="0.25">
      <c r="A625" t="s">
        <v>57</v>
      </c>
      <c r="B625">
        <v>45</v>
      </c>
      <c r="C625">
        <v>408</v>
      </c>
      <c r="D625" t="s">
        <v>29</v>
      </c>
      <c r="E625" t="s">
        <v>29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18.600000000000001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2.4300000000000002</v>
      </c>
      <c r="S625">
        <v>2</v>
      </c>
      <c r="T625" t="b">
        <v>0</v>
      </c>
    </row>
    <row r="626" spans="1:20" x14ac:dyDescent="0.25">
      <c r="A626" t="s">
        <v>78</v>
      </c>
      <c r="B626">
        <v>73</v>
      </c>
      <c r="C626">
        <v>408</v>
      </c>
      <c r="D626" t="s">
        <v>29</v>
      </c>
      <c r="E626" t="s">
        <v>29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 x14ac:dyDescent="0.25">
      <c r="A627" t="s">
        <v>59</v>
      </c>
      <c r="B627">
        <v>92</v>
      </c>
      <c r="C627">
        <v>415</v>
      </c>
      <c r="D627" t="s">
        <v>29</v>
      </c>
      <c r="E627" t="s">
        <v>29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 x14ac:dyDescent="0.25">
      <c r="A628" t="s">
        <v>47</v>
      </c>
      <c r="B628">
        <v>113</v>
      </c>
      <c r="C628">
        <v>415</v>
      </c>
      <c r="D628" t="s">
        <v>29</v>
      </c>
      <c r="E628" t="s">
        <v>30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 x14ac:dyDescent="0.25">
      <c r="A629" t="s">
        <v>53</v>
      </c>
      <c r="B629">
        <v>135</v>
      </c>
      <c r="C629">
        <v>415</v>
      </c>
      <c r="D629" t="s">
        <v>29</v>
      </c>
      <c r="E629" t="s">
        <v>30</v>
      </c>
      <c r="F629">
        <v>22</v>
      </c>
      <c r="G629">
        <v>197.1</v>
      </c>
      <c r="H629">
        <v>113</v>
      </c>
      <c r="I629">
        <v>33.51</v>
      </c>
      <c r="J629">
        <v>259.39999999999998</v>
      </c>
      <c r="K629">
        <v>95</v>
      </c>
      <c r="L629">
        <v>22.05</v>
      </c>
      <c r="M629">
        <v>134.69999999999999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 x14ac:dyDescent="0.25">
      <c r="A630" t="s">
        <v>47</v>
      </c>
      <c r="B630">
        <v>100</v>
      </c>
      <c r="C630">
        <v>415</v>
      </c>
      <c r="D630" t="s">
        <v>29</v>
      </c>
      <c r="E630" t="s">
        <v>30</v>
      </c>
      <c r="F630">
        <v>26</v>
      </c>
      <c r="G630">
        <v>153.69999999999999</v>
      </c>
      <c r="H630">
        <v>115</v>
      </c>
      <c r="I630">
        <v>26.13</v>
      </c>
      <c r="J630">
        <v>137.80000000000001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 x14ac:dyDescent="0.25">
      <c r="A631" t="s">
        <v>66</v>
      </c>
      <c r="B631">
        <v>96</v>
      </c>
      <c r="C631">
        <v>415</v>
      </c>
      <c r="D631" t="s">
        <v>29</v>
      </c>
      <c r="E631" t="s">
        <v>30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 x14ac:dyDescent="0.25">
      <c r="A632" t="s">
        <v>72</v>
      </c>
      <c r="B632">
        <v>108</v>
      </c>
      <c r="C632">
        <v>510</v>
      </c>
      <c r="D632" t="s">
        <v>29</v>
      </c>
      <c r="E632" t="s">
        <v>29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 x14ac:dyDescent="0.25">
      <c r="A633" t="s">
        <v>45</v>
      </c>
      <c r="B633">
        <v>84</v>
      </c>
      <c r="C633">
        <v>510</v>
      </c>
      <c r="D633" t="s">
        <v>29</v>
      </c>
      <c r="E633" t="s">
        <v>29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 x14ac:dyDescent="0.25">
      <c r="A634" t="s">
        <v>65</v>
      </c>
      <c r="B634">
        <v>134</v>
      </c>
      <c r="C634">
        <v>408</v>
      </c>
      <c r="D634" t="s">
        <v>29</v>
      </c>
      <c r="E634" t="s">
        <v>29</v>
      </c>
      <c r="F634">
        <v>0</v>
      </c>
      <c r="G634">
        <v>208.3</v>
      </c>
      <c r="H634">
        <v>86</v>
      </c>
      <c r="I634">
        <v>35.409999999999997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 x14ac:dyDescent="0.25">
      <c r="A635" t="s">
        <v>40</v>
      </c>
      <c r="B635">
        <v>72</v>
      </c>
      <c r="C635">
        <v>415</v>
      </c>
      <c r="D635" t="s">
        <v>29</v>
      </c>
      <c r="E635" t="s">
        <v>29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9.8000000000000007</v>
      </c>
      <c r="Q635">
        <v>4</v>
      </c>
      <c r="R635">
        <v>2.65</v>
      </c>
      <c r="S635">
        <v>0</v>
      </c>
      <c r="T635" t="b">
        <v>0</v>
      </c>
    </row>
    <row r="636" spans="1:20" x14ac:dyDescent="0.25">
      <c r="A636" t="s">
        <v>34</v>
      </c>
      <c r="B636">
        <v>83</v>
      </c>
      <c r="C636">
        <v>408</v>
      </c>
      <c r="D636" t="s">
        <v>29</v>
      </c>
      <c r="E636" t="s">
        <v>29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 x14ac:dyDescent="0.25">
      <c r="A637" t="s">
        <v>37</v>
      </c>
      <c r="B637">
        <v>137</v>
      </c>
      <c r="C637">
        <v>408</v>
      </c>
      <c r="D637" t="s">
        <v>29</v>
      </c>
      <c r="E637" t="s">
        <v>29</v>
      </c>
      <c r="F637">
        <v>0</v>
      </c>
      <c r="G637">
        <v>174.4</v>
      </c>
      <c r="H637">
        <v>120</v>
      </c>
      <c r="I637">
        <v>29.65</v>
      </c>
      <c r="J637">
        <v>156.30000000000001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10.199999999999999</v>
      </c>
      <c r="Q637">
        <v>5</v>
      </c>
      <c r="R637">
        <v>2.75</v>
      </c>
      <c r="S637">
        <v>0</v>
      </c>
      <c r="T637" t="b">
        <v>0</v>
      </c>
    </row>
    <row r="638" spans="1:20" x14ac:dyDescent="0.25">
      <c r="A638" t="s">
        <v>53</v>
      </c>
      <c r="B638">
        <v>56</v>
      </c>
      <c r="C638">
        <v>415</v>
      </c>
      <c r="D638" t="s">
        <v>29</v>
      </c>
      <c r="E638" t="s">
        <v>30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 x14ac:dyDescent="0.25">
      <c r="A639" t="s">
        <v>31</v>
      </c>
      <c r="B639">
        <v>61</v>
      </c>
      <c r="C639">
        <v>510</v>
      </c>
      <c r="D639" t="s">
        <v>30</v>
      </c>
      <c r="E639" t="s">
        <v>30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147.69999999999999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 x14ac:dyDescent="0.25">
      <c r="A640" t="s">
        <v>59</v>
      </c>
      <c r="B640">
        <v>171</v>
      </c>
      <c r="C640">
        <v>510</v>
      </c>
      <c r="D640" t="s">
        <v>29</v>
      </c>
      <c r="E640" t="s">
        <v>30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20.399999999999999</v>
      </c>
      <c r="M640">
        <v>200.9</v>
      </c>
      <c r="N640">
        <v>64</v>
      </c>
      <c r="O640">
        <v>9.0399999999999991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 x14ac:dyDescent="0.25">
      <c r="A641" t="s">
        <v>45</v>
      </c>
      <c r="B641">
        <v>58</v>
      </c>
      <c r="C641">
        <v>510</v>
      </c>
      <c r="D641" t="s">
        <v>29</v>
      </c>
      <c r="E641" t="s">
        <v>29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8.0299999999999994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 x14ac:dyDescent="0.25">
      <c r="A642" t="s">
        <v>54</v>
      </c>
      <c r="B642">
        <v>156</v>
      </c>
      <c r="C642">
        <v>510</v>
      </c>
      <c r="D642" t="s">
        <v>29</v>
      </c>
      <c r="E642" t="s">
        <v>29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 x14ac:dyDescent="0.25">
      <c r="A643" t="s">
        <v>57</v>
      </c>
      <c r="B643">
        <v>166</v>
      </c>
      <c r="C643">
        <v>510</v>
      </c>
      <c r="D643" t="s">
        <v>29</v>
      </c>
      <c r="E643" t="s">
        <v>29</v>
      </c>
      <c r="F643">
        <v>0</v>
      </c>
      <c r="G643">
        <v>173.9</v>
      </c>
      <c r="H643">
        <v>103</v>
      </c>
      <c r="I643">
        <v>29.56</v>
      </c>
      <c r="J643">
        <v>276.39999999999998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 x14ac:dyDescent="0.25">
      <c r="A644" t="s">
        <v>71</v>
      </c>
      <c r="B644">
        <v>75</v>
      </c>
      <c r="C644">
        <v>415</v>
      </c>
      <c r="D644" t="s">
        <v>29</v>
      </c>
      <c r="E644" t="s">
        <v>29</v>
      </c>
      <c r="F644">
        <v>0</v>
      </c>
      <c r="G644">
        <v>314.60000000000002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285.10000000000002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 x14ac:dyDescent="0.25">
      <c r="A645" t="s">
        <v>31</v>
      </c>
      <c r="B645">
        <v>83</v>
      </c>
      <c r="C645">
        <v>510</v>
      </c>
      <c r="D645" t="s">
        <v>29</v>
      </c>
      <c r="E645" t="s">
        <v>29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9.5299999999999994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 x14ac:dyDescent="0.25">
      <c r="A646" t="s">
        <v>61</v>
      </c>
      <c r="B646">
        <v>243</v>
      </c>
      <c r="C646">
        <v>510</v>
      </c>
      <c r="D646" t="s">
        <v>29</v>
      </c>
      <c r="E646" t="s">
        <v>29</v>
      </c>
      <c r="F646">
        <v>0</v>
      </c>
      <c r="G646">
        <v>95.5</v>
      </c>
      <c r="H646">
        <v>92</v>
      </c>
      <c r="I646">
        <v>16.239999999999998</v>
      </c>
      <c r="J646">
        <v>163.69999999999999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 x14ac:dyDescent="0.25">
      <c r="A647" t="s">
        <v>66</v>
      </c>
      <c r="B647">
        <v>150</v>
      </c>
      <c r="C647">
        <v>415</v>
      </c>
      <c r="D647" t="s">
        <v>29</v>
      </c>
      <c r="E647" t="s">
        <v>29</v>
      </c>
      <c r="F647">
        <v>0</v>
      </c>
      <c r="G647">
        <v>146.30000000000001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 x14ac:dyDescent="0.25">
      <c r="A648" t="s">
        <v>37</v>
      </c>
      <c r="B648">
        <v>92</v>
      </c>
      <c r="C648">
        <v>510</v>
      </c>
      <c r="D648" t="s">
        <v>29</v>
      </c>
      <c r="E648" t="s">
        <v>30</v>
      </c>
      <c r="F648">
        <v>16</v>
      </c>
      <c r="G648">
        <v>184</v>
      </c>
      <c r="H648">
        <v>99</v>
      </c>
      <c r="I648">
        <v>31.28</v>
      </c>
      <c r="J648">
        <v>76.400000000000006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 x14ac:dyDescent="0.25">
      <c r="A649" t="s">
        <v>66</v>
      </c>
      <c r="B649">
        <v>80</v>
      </c>
      <c r="C649">
        <v>415</v>
      </c>
      <c r="D649" t="s">
        <v>29</v>
      </c>
      <c r="E649" t="s">
        <v>29</v>
      </c>
      <c r="F649">
        <v>0</v>
      </c>
      <c r="G649">
        <v>105.8</v>
      </c>
      <c r="H649">
        <v>110</v>
      </c>
      <c r="I649">
        <v>17.989999999999998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8.5299999999999994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 x14ac:dyDescent="0.25">
      <c r="A650" t="s">
        <v>34</v>
      </c>
      <c r="B650">
        <v>134</v>
      </c>
      <c r="C650">
        <v>415</v>
      </c>
      <c r="D650" t="s">
        <v>29</v>
      </c>
      <c r="E650" t="s">
        <v>29</v>
      </c>
      <c r="F650">
        <v>0</v>
      </c>
      <c r="G650">
        <v>178</v>
      </c>
      <c r="H650">
        <v>110</v>
      </c>
      <c r="I650">
        <v>30.26</v>
      </c>
      <c r="J650">
        <v>153.80000000000001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 x14ac:dyDescent="0.25">
      <c r="A651" t="s">
        <v>77</v>
      </c>
      <c r="B651">
        <v>77</v>
      </c>
      <c r="C651">
        <v>510</v>
      </c>
      <c r="D651" t="s">
        <v>29</v>
      </c>
      <c r="E651" t="s">
        <v>30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 x14ac:dyDescent="0.25">
      <c r="A652" t="s">
        <v>59</v>
      </c>
      <c r="B652">
        <v>147</v>
      </c>
      <c r="C652">
        <v>510</v>
      </c>
      <c r="D652" t="s">
        <v>29</v>
      </c>
      <c r="E652" t="s">
        <v>29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 x14ac:dyDescent="0.25">
      <c r="A653" t="s">
        <v>36</v>
      </c>
      <c r="B653">
        <v>74</v>
      </c>
      <c r="C653">
        <v>415</v>
      </c>
      <c r="D653" t="s">
        <v>29</v>
      </c>
      <c r="E653" t="s">
        <v>29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17.989999999999998</v>
      </c>
      <c r="M653">
        <v>182.2</v>
      </c>
      <c r="N653">
        <v>105</v>
      </c>
      <c r="O653">
        <v>8.1999999999999993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 x14ac:dyDescent="0.25">
      <c r="A654" t="s">
        <v>50</v>
      </c>
      <c r="B654">
        <v>138</v>
      </c>
      <c r="C654">
        <v>510</v>
      </c>
      <c r="D654" t="s">
        <v>30</v>
      </c>
      <c r="E654" t="s">
        <v>29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8.2899999999999991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 x14ac:dyDescent="0.25">
      <c r="A655" t="s">
        <v>78</v>
      </c>
      <c r="B655">
        <v>64</v>
      </c>
      <c r="C655">
        <v>415</v>
      </c>
      <c r="D655" t="s">
        <v>29</v>
      </c>
      <c r="E655" t="s">
        <v>29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 x14ac:dyDescent="0.25">
      <c r="A656" t="s">
        <v>72</v>
      </c>
      <c r="B656">
        <v>120</v>
      </c>
      <c r="C656">
        <v>510</v>
      </c>
      <c r="D656" t="s">
        <v>29</v>
      </c>
      <c r="E656" t="s">
        <v>29</v>
      </c>
      <c r="F656">
        <v>0</v>
      </c>
      <c r="G656">
        <v>198.8</v>
      </c>
      <c r="H656">
        <v>56</v>
      </c>
      <c r="I656">
        <v>33.799999999999997</v>
      </c>
      <c r="J656">
        <v>230.1</v>
      </c>
      <c r="K656">
        <v>73</v>
      </c>
      <c r="L656">
        <v>19.559999999999999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 x14ac:dyDescent="0.25">
      <c r="A657" t="s">
        <v>46</v>
      </c>
      <c r="B657">
        <v>121</v>
      </c>
      <c r="C657">
        <v>408</v>
      </c>
      <c r="D657" t="s">
        <v>30</v>
      </c>
      <c r="E657" t="s">
        <v>29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 x14ac:dyDescent="0.25">
      <c r="A658" t="s">
        <v>51</v>
      </c>
      <c r="B658">
        <v>88</v>
      </c>
      <c r="C658">
        <v>415</v>
      </c>
      <c r="D658" t="s">
        <v>29</v>
      </c>
      <c r="E658" t="s">
        <v>29</v>
      </c>
      <c r="F658">
        <v>0</v>
      </c>
      <c r="G658">
        <v>202.2</v>
      </c>
      <c r="H658">
        <v>86</v>
      </c>
      <c r="I658">
        <v>34.369999999999997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 x14ac:dyDescent="0.25">
      <c r="A659" t="s">
        <v>45</v>
      </c>
      <c r="B659">
        <v>104</v>
      </c>
      <c r="C659">
        <v>415</v>
      </c>
      <c r="D659" t="s">
        <v>29</v>
      </c>
      <c r="E659" t="s">
        <v>29</v>
      </c>
      <c r="F659">
        <v>0</v>
      </c>
      <c r="G659">
        <v>76.400000000000006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 x14ac:dyDescent="0.25">
      <c r="A660" t="s">
        <v>53</v>
      </c>
      <c r="B660">
        <v>27</v>
      </c>
      <c r="C660">
        <v>510</v>
      </c>
      <c r="D660" t="s">
        <v>29</v>
      </c>
      <c r="E660" t="s">
        <v>29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 x14ac:dyDescent="0.25">
      <c r="A661" t="s">
        <v>50</v>
      </c>
      <c r="B661">
        <v>81</v>
      </c>
      <c r="C661">
        <v>415</v>
      </c>
      <c r="D661" t="s">
        <v>29</v>
      </c>
      <c r="E661" t="s">
        <v>30</v>
      </c>
      <c r="F661">
        <v>31</v>
      </c>
      <c r="G661">
        <v>210.4</v>
      </c>
      <c r="H661">
        <v>100</v>
      </c>
      <c r="I661">
        <v>35.770000000000003</v>
      </c>
      <c r="J661">
        <v>225.5</v>
      </c>
      <c r="K661">
        <v>97</v>
      </c>
      <c r="L661">
        <v>19.170000000000002</v>
      </c>
      <c r="M661">
        <v>168.7</v>
      </c>
      <c r="N661">
        <v>120</v>
      </c>
      <c r="O661">
        <v>7.59</v>
      </c>
      <c r="P661">
        <v>9.6999999999999993</v>
      </c>
      <c r="Q661">
        <v>4</v>
      </c>
      <c r="R661">
        <v>2.62</v>
      </c>
      <c r="S661">
        <v>0</v>
      </c>
      <c r="T661" t="b">
        <v>0</v>
      </c>
    </row>
    <row r="662" spans="1:20" x14ac:dyDescent="0.25">
      <c r="A662" t="s">
        <v>64</v>
      </c>
      <c r="B662">
        <v>64</v>
      </c>
      <c r="C662">
        <v>510</v>
      </c>
      <c r="D662" t="s">
        <v>30</v>
      </c>
      <c r="E662" t="s">
        <v>30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 x14ac:dyDescent="0.25">
      <c r="A663" t="s">
        <v>42</v>
      </c>
      <c r="B663">
        <v>107</v>
      </c>
      <c r="C663">
        <v>510</v>
      </c>
      <c r="D663" t="s">
        <v>29</v>
      </c>
      <c r="E663" t="s">
        <v>30</v>
      </c>
      <c r="F663">
        <v>28</v>
      </c>
      <c r="G663">
        <v>201.8</v>
      </c>
      <c r="H663">
        <v>79</v>
      </c>
      <c r="I663">
        <v>34.31</v>
      </c>
      <c r="J663">
        <v>304.89999999999998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 x14ac:dyDescent="0.25">
      <c r="A664" t="s">
        <v>69</v>
      </c>
      <c r="B664">
        <v>88</v>
      </c>
      <c r="C664">
        <v>415</v>
      </c>
      <c r="D664" t="s">
        <v>29</v>
      </c>
      <c r="E664" t="s">
        <v>30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8.4700000000000006</v>
      </c>
      <c r="P664">
        <v>16.100000000000001</v>
      </c>
      <c r="Q664">
        <v>5</v>
      </c>
      <c r="R664">
        <v>4.3499999999999996</v>
      </c>
      <c r="S664">
        <v>1</v>
      </c>
      <c r="T664" t="b">
        <v>0</v>
      </c>
    </row>
    <row r="665" spans="1:20" x14ac:dyDescent="0.25">
      <c r="A665" t="s">
        <v>42</v>
      </c>
      <c r="B665">
        <v>111</v>
      </c>
      <c r="C665">
        <v>408</v>
      </c>
      <c r="D665" t="s">
        <v>29</v>
      </c>
      <c r="E665" t="s">
        <v>29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2.4300000000000002</v>
      </c>
      <c r="S665">
        <v>3</v>
      </c>
      <c r="T665" t="b">
        <v>0</v>
      </c>
    </row>
    <row r="666" spans="1:20" x14ac:dyDescent="0.25">
      <c r="A666" t="s">
        <v>68</v>
      </c>
      <c r="B666">
        <v>77</v>
      </c>
      <c r="C666">
        <v>415</v>
      </c>
      <c r="D666" t="s">
        <v>29</v>
      </c>
      <c r="E666" t="s">
        <v>29</v>
      </c>
      <c r="F666">
        <v>0</v>
      </c>
      <c r="G666">
        <v>239.2</v>
      </c>
      <c r="H666">
        <v>114</v>
      </c>
      <c r="I666">
        <v>40.659999999999997</v>
      </c>
      <c r="J666">
        <v>150</v>
      </c>
      <c r="K666">
        <v>115</v>
      </c>
      <c r="L666">
        <v>12.75</v>
      </c>
      <c r="M666">
        <v>160.80000000000001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 x14ac:dyDescent="0.25">
      <c r="A667" t="s">
        <v>58</v>
      </c>
      <c r="B667">
        <v>67</v>
      </c>
      <c r="C667">
        <v>415</v>
      </c>
      <c r="D667" t="s">
        <v>30</v>
      </c>
      <c r="E667" t="s">
        <v>29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 x14ac:dyDescent="0.25">
      <c r="A668" t="s">
        <v>34</v>
      </c>
      <c r="B668">
        <v>102</v>
      </c>
      <c r="C668">
        <v>408</v>
      </c>
      <c r="D668" t="s">
        <v>29</v>
      </c>
      <c r="E668" t="s">
        <v>29</v>
      </c>
      <c r="F668">
        <v>0</v>
      </c>
      <c r="G668">
        <v>224.7</v>
      </c>
      <c r="H668">
        <v>81</v>
      </c>
      <c r="I668">
        <v>38.200000000000003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4.2699999999999996</v>
      </c>
      <c r="S668">
        <v>1</v>
      </c>
      <c r="T668" t="b">
        <v>0</v>
      </c>
    </row>
    <row r="669" spans="1:20" x14ac:dyDescent="0.25">
      <c r="A669" t="s">
        <v>79</v>
      </c>
      <c r="B669">
        <v>146</v>
      </c>
      <c r="C669">
        <v>408</v>
      </c>
      <c r="D669" t="s">
        <v>29</v>
      </c>
      <c r="E669" t="s">
        <v>30</v>
      </c>
      <c r="F669">
        <v>19</v>
      </c>
      <c r="G669">
        <v>176.6</v>
      </c>
      <c r="H669">
        <v>88</v>
      </c>
      <c r="I669">
        <v>30.02</v>
      </c>
      <c r="J669">
        <v>162.69999999999999</v>
      </c>
      <c r="K669">
        <v>66</v>
      </c>
      <c r="L669">
        <v>13.83</v>
      </c>
      <c r="M669">
        <v>215.5</v>
      </c>
      <c r="N669">
        <v>98</v>
      </c>
      <c r="O669">
        <v>9.6999999999999993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 x14ac:dyDescent="0.25">
      <c r="A670" t="s">
        <v>48</v>
      </c>
      <c r="B670">
        <v>96</v>
      </c>
      <c r="C670">
        <v>415</v>
      </c>
      <c r="D670" t="s">
        <v>29</v>
      </c>
      <c r="E670" t="s">
        <v>29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295.60000000000002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 x14ac:dyDescent="0.25">
      <c r="A671" t="s">
        <v>72</v>
      </c>
      <c r="B671">
        <v>149</v>
      </c>
      <c r="C671">
        <v>408</v>
      </c>
      <c r="D671" t="s">
        <v>29</v>
      </c>
      <c r="E671" t="s">
        <v>29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16.350000000000001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 x14ac:dyDescent="0.25">
      <c r="A672" t="s">
        <v>50</v>
      </c>
      <c r="B672">
        <v>129</v>
      </c>
      <c r="C672">
        <v>415</v>
      </c>
      <c r="D672" t="s">
        <v>29</v>
      </c>
      <c r="E672" t="s">
        <v>29</v>
      </c>
      <c r="F672">
        <v>0</v>
      </c>
      <c r="G672">
        <v>198.4</v>
      </c>
      <c r="H672">
        <v>91</v>
      </c>
      <c r="I672">
        <v>33.729999999999997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9.1999999999999993</v>
      </c>
      <c r="Q672">
        <v>2</v>
      </c>
      <c r="R672">
        <v>2.48</v>
      </c>
      <c r="S672">
        <v>2</v>
      </c>
      <c r="T672" t="b">
        <v>0</v>
      </c>
    </row>
    <row r="673" spans="1:20" x14ac:dyDescent="0.25">
      <c r="A673" t="s">
        <v>65</v>
      </c>
      <c r="B673">
        <v>166</v>
      </c>
      <c r="C673">
        <v>408</v>
      </c>
      <c r="D673" t="s">
        <v>29</v>
      </c>
      <c r="E673" t="s">
        <v>29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 x14ac:dyDescent="0.25">
      <c r="A674" t="s">
        <v>28</v>
      </c>
      <c r="B674">
        <v>149</v>
      </c>
      <c r="C674">
        <v>510</v>
      </c>
      <c r="D674" t="s">
        <v>29</v>
      </c>
      <c r="E674" t="s">
        <v>29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10.210000000000001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 x14ac:dyDescent="0.25">
      <c r="A675" t="s">
        <v>38</v>
      </c>
      <c r="B675">
        <v>70</v>
      </c>
      <c r="C675">
        <v>415</v>
      </c>
      <c r="D675" t="s">
        <v>29</v>
      </c>
      <c r="E675" t="s">
        <v>29</v>
      </c>
      <c r="F675">
        <v>0</v>
      </c>
      <c r="G675">
        <v>134.69999999999999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2.0499999999999998</v>
      </c>
      <c r="S675">
        <v>3</v>
      </c>
      <c r="T675" t="b">
        <v>0</v>
      </c>
    </row>
    <row r="676" spans="1:20" x14ac:dyDescent="0.25">
      <c r="A676" t="s">
        <v>39</v>
      </c>
      <c r="B676">
        <v>66</v>
      </c>
      <c r="C676">
        <v>510</v>
      </c>
      <c r="D676" t="s">
        <v>29</v>
      </c>
      <c r="E676" t="s">
        <v>29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 x14ac:dyDescent="0.25">
      <c r="A677" t="s">
        <v>68</v>
      </c>
      <c r="B677">
        <v>160</v>
      </c>
      <c r="C677">
        <v>415</v>
      </c>
      <c r="D677" t="s">
        <v>29</v>
      </c>
      <c r="E677" t="s">
        <v>29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263.89999999999998</v>
      </c>
      <c r="N677">
        <v>95</v>
      </c>
      <c r="O677">
        <v>11.88</v>
      </c>
      <c r="P677">
        <v>9.1999999999999993</v>
      </c>
      <c r="Q677">
        <v>4</v>
      </c>
      <c r="R677">
        <v>2.48</v>
      </c>
      <c r="S677">
        <v>1</v>
      </c>
      <c r="T677" t="b">
        <v>0</v>
      </c>
    </row>
    <row r="678" spans="1:20" x14ac:dyDescent="0.25">
      <c r="A678" t="s">
        <v>57</v>
      </c>
      <c r="B678">
        <v>129</v>
      </c>
      <c r="C678">
        <v>415</v>
      </c>
      <c r="D678" t="s">
        <v>29</v>
      </c>
      <c r="E678" t="s">
        <v>30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 x14ac:dyDescent="0.25">
      <c r="A679" t="s">
        <v>34</v>
      </c>
      <c r="B679">
        <v>93</v>
      </c>
      <c r="C679">
        <v>408</v>
      </c>
      <c r="D679" t="s">
        <v>29</v>
      </c>
      <c r="E679" t="s">
        <v>29</v>
      </c>
      <c r="F679">
        <v>0</v>
      </c>
      <c r="G679">
        <v>267.89999999999998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 x14ac:dyDescent="0.25">
      <c r="A680" t="s">
        <v>78</v>
      </c>
      <c r="B680">
        <v>169</v>
      </c>
      <c r="C680">
        <v>415</v>
      </c>
      <c r="D680" t="s">
        <v>29</v>
      </c>
      <c r="E680" t="s">
        <v>29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 x14ac:dyDescent="0.25">
      <c r="A681" t="s">
        <v>36</v>
      </c>
      <c r="B681">
        <v>58</v>
      </c>
      <c r="C681">
        <v>415</v>
      </c>
      <c r="D681" t="s">
        <v>29</v>
      </c>
      <c r="E681" t="s">
        <v>29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4.0199999999999996</v>
      </c>
      <c r="S681">
        <v>1</v>
      </c>
      <c r="T681" t="b">
        <v>0</v>
      </c>
    </row>
    <row r="682" spans="1:20" x14ac:dyDescent="0.25">
      <c r="A682" t="s">
        <v>36</v>
      </c>
      <c r="B682">
        <v>45</v>
      </c>
      <c r="C682">
        <v>408</v>
      </c>
      <c r="D682" t="s">
        <v>29</v>
      </c>
      <c r="E682" t="s">
        <v>29</v>
      </c>
      <c r="F682">
        <v>0</v>
      </c>
      <c r="G682">
        <v>207.6</v>
      </c>
      <c r="H682">
        <v>71</v>
      </c>
      <c r="I682">
        <v>35.29</v>
      </c>
      <c r="J682">
        <v>152.69999999999999</v>
      </c>
      <c r="K682">
        <v>94</v>
      </c>
      <c r="L682">
        <v>12.98</v>
      </c>
      <c r="M682">
        <v>217.8</v>
      </c>
      <c r="N682">
        <v>125</v>
      </c>
      <c r="O682">
        <v>9.8000000000000007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 x14ac:dyDescent="0.25">
      <c r="A683" t="s">
        <v>80</v>
      </c>
      <c r="B683">
        <v>155</v>
      </c>
      <c r="C683">
        <v>510</v>
      </c>
      <c r="D683" t="s">
        <v>29</v>
      </c>
      <c r="E683" t="s">
        <v>29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 x14ac:dyDescent="0.25">
      <c r="A684" t="s">
        <v>55</v>
      </c>
      <c r="B684">
        <v>52</v>
      </c>
      <c r="C684">
        <v>415</v>
      </c>
      <c r="D684" t="s">
        <v>29</v>
      </c>
      <c r="E684" t="s">
        <v>29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 x14ac:dyDescent="0.25">
      <c r="A685" t="s">
        <v>31</v>
      </c>
      <c r="B685">
        <v>119</v>
      </c>
      <c r="C685">
        <v>415</v>
      </c>
      <c r="D685" t="s">
        <v>29</v>
      </c>
      <c r="E685" t="s">
        <v>30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 x14ac:dyDescent="0.25">
      <c r="A686" t="s">
        <v>68</v>
      </c>
      <c r="B686">
        <v>86</v>
      </c>
      <c r="C686">
        <v>510</v>
      </c>
      <c r="D686" t="s">
        <v>29</v>
      </c>
      <c r="E686" t="s">
        <v>29</v>
      </c>
      <c r="F686">
        <v>0</v>
      </c>
      <c r="G686">
        <v>141.30000000000001</v>
      </c>
      <c r="H686">
        <v>72</v>
      </c>
      <c r="I686">
        <v>24.02</v>
      </c>
      <c r="J686">
        <v>154.30000000000001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8.1999999999999993</v>
      </c>
      <c r="Q686">
        <v>5</v>
      </c>
      <c r="R686">
        <v>2.21</v>
      </c>
      <c r="S686">
        <v>1</v>
      </c>
      <c r="T686" t="b">
        <v>0</v>
      </c>
    </row>
    <row r="687" spans="1:20" x14ac:dyDescent="0.25">
      <c r="A687" t="s">
        <v>55</v>
      </c>
      <c r="B687">
        <v>42</v>
      </c>
      <c r="C687">
        <v>408</v>
      </c>
      <c r="D687" t="s">
        <v>29</v>
      </c>
      <c r="E687" t="s">
        <v>29</v>
      </c>
      <c r="F687">
        <v>0</v>
      </c>
      <c r="G687">
        <v>196.5</v>
      </c>
      <c r="H687">
        <v>89</v>
      </c>
      <c r="I687">
        <v>33.409999999999997</v>
      </c>
      <c r="J687">
        <v>241.3</v>
      </c>
      <c r="K687">
        <v>123</v>
      </c>
      <c r="L687">
        <v>20.51</v>
      </c>
      <c r="M687">
        <v>143.19999999999999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 x14ac:dyDescent="0.25">
      <c r="A688" t="s">
        <v>31</v>
      </c>
      <c r="B688">
        <v>123</v>
      </c>
      <c r="C688">
        <v>408</v>
      </c>
      <c r="D688" t="s">
        <v>29</v>
      </c>
      <c r="E688" t="s">
        <v>29</v>
      </c>
      <c r="F688">
        <v>0</v>
      </c>
      <c r="G688">
        <v>105</v>
      </c>
      <c r="H688">
        <v>150</v>
      </c>
      <c r="I688">
        <v>17.850000000000001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4.0199999999999996</v>
      </c>
      <c r="S688">
        <v>0</v>
      </c>
      <c r="T688" t="b">
        <v>0</v>
      </c>
    </row>
    <row r="689" spans="1:20" x14ac:dyDescent="0.25">
      <c r="A689" t="s">
        <v>35</v>
      </c>
      <c r="B689">
        <v>98</v>
      </c>
      <c r="C689">
        <v>510</v>
      </c>
      <c r="D689" t="s">
        <v>29</v>
      </c>
      <c r="E689" t="s">
        <v>29</v>
      </c>
      <c r="F689">
        <v>0</v>
      </c>
      <c r="G689">
        <v>271.39999999999998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 x14ac:dyDescent="0.25">
      <c r="A690" t="s">
        <v>33</v>
      </c>
      <c r="B690">
        <v>149</v>
      </c>
      <c r="C690">
        <v>510</v>
      </c>
      <c r="D690" t="s">
        <v>29</v>
      </c>
      <c r="E690" t="s">
        <v>30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 x14ac:dyDescent="0.25">
      <c r="A691" t="s">
        <v>35</v>
      </c>
      <c r="B691">
        <v>160</v>
      </c>
      <c r="C691">
        <v>408</v>
      </c>
      <c r="D691" t="s">
        <v>29</v>
      </c>
      <c r="E691" t="s">
        <v>29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20.059999999999999</v>
      </c>
      <c r="M691">
        <v>307.60000000000002</v>
      </c>
      <c r="N691">
        <v>77</v>
      </c>
      <c r="O691">
        <v>13.84</v>
      </c>
      <c r="P691">
        <v>9.3000000000000007</v>
      </c>
      <c r="Q691">
        <v>1</v>
      </c>
      <c r="R691">
        <v>2.5099999999999998</v>
      </c>
      <c r="S691">
        <v>1</v>
      </c>
      <c r="T691" t="b">
        <v>0</v>
      </c>
    </row>
    <row r="692" spans="1:20" x14ac:dyDescent="0.25">
      <c r="A692" t="s">
        <v>65</v>
      </c>
      <c r="B692">
        <v>103</v>
      </c>
      <c r="C692">
        <v>415</v>
      </c>
      <c r="D692" t="s">
        <v>29</v>
      </c>
      <c r="E692" t="s">
        <v>29</v>
      </c>
      <c r="F692">
        <v>0</v>
      </c>
      <c r="G692">
        <v>204.9</v>
      </c>
      <c r="H692">
        <v>107</v>
      </c>
      <c r="I692">
        <v>34.83</v>
      </c>
      <c r="J692">
        <v>135.19999999999999</v>
      </c>
      <c r="K692">
        <v>102</v>
      </c>
      <c r="L692">
        <v>11.49</v>
      </c>
      <c r="M692">
        <v>208.2</v>
      </c>
      <c r="N692">
        <v>106</v>
      </c>
      <c r="O692">
        <v>9.3699999999999992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 x14ac:dyDescent="0.25">
      <c r="A693" t="s">
        <v>78</v>
      </c>
      <c r="B693">
        <v>132</v>
      </c>
      <c r="C693">
        <v>415</v>
      </c>
      <c r="D693" t="s">
        <v>29</v>
      </c>
      <c r="E693" t="s">
        <v>30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 x14ac:dyDescent="0.25">
      <c r="A694" t="s">
        <v>46</v>
      </c>
      <c r="B694">
        <v>137</v>
      </c>
      <c r="C694">
        <v>415</v>
      </c>
      <c r="D694" t="s">
        <v>29</v>
      </c>
      <c r="E694" t="s">
        <v>29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2.0299999999999998</v>
      </c>
      <c r="S694">
        <v>1</v>
      </c>
      <c r="T694" t="b">
        <v>0</v>
      </c>
    </row>
    <row r="695" spans="1:20" x14ac:dyDescent="0.25">
      <c r="A695" t="s">
        <v>45</v>
      </c>
      <c r="B695">
        <v>129</v>
      </c>
      <c r="C695">
        <v>415</v>
      </c>
      <c r="D695" t="s">
        <v>30</v>
      </c>
      <c r="E695" t="s">
        <v>29</v>
      </c>
      <c r="F695">
        <v>0</v>
      </c>
      <c r="G695">
        <v>267.39999999999998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 x14ac:dyDescent="0.25">
      <c r="A696" t="s">
        <v>57</v>
      </c>
      <c r="B696">
        <v>62</v>
      </c>
      <c r="C696">
        <v>415</v>
      </c>
      <c r="D696" t="s">
        <v>29</v>
      </c>
      <c r="E696" t="s">
        <v>29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77.900000000000006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 x14ac:dyDescent="0.25">
      <c r="A697" t="s">
        <v>49</v>
      </c>
      <c r="B697">
        <v>32</v>
      </c>
      <c r="C697">
        <v>408</v>
      </c>
      <c r="D697" t="s">
        <v>29</v>
      </c>
      <c r="E697" t="s">
        <v>29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10.199999999999999</v>
      </c>
      <c r="Q697">
        <v>7</v>
      </c>
      <c r="R697">
        <v>2.75</v>
      </c>
      <c r="S697">
        <v>1</v>
      </c>
      <c r="T697" t="b">
        <v>0</v>
      </c>
    </row>
    <row r="698" spans="1:20" x14ac:dyDescent="0.25">
      <c r="A698" t="s">
        <v>53</v>
      </c>
      <c r="B698">
        <v>86</v>
      </c>
      <c r="C698">
        <v>510</v>
      </c>
      <c r="D698" t="s">
        <v>29</v>
      </c>
      <c r="E698" t="s">
        <v>29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289.60000000000002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 x14ac:dyDescent="0.25">
      <c r="A699" t="s">
        <v>45</v>
      </c>
      <c r="B699">
        <v>130</v>
      </c>
      <c r="C699">
        <v>415</v>
      </c>
      <c r="D699" t="s">
        <v>29</v>
      </c>
      <c r="E699" t="s">
        <v>29</v>
      </c>
      <c r="F699">
        <v>0</v>
      </c>
      <c r="G699">
        <v>162.80000000000001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 x14ac:dyDescent="0.25">
      <c r="A700" t="s">
        <v>49</v>
      </c>
      <c r="B700">
        <v>42</v>
      </c>
      <c r="C700">
        <v>408</v>
      </c>
      <c r="D700" t="s">
        <v>29</v>
      </c>
      <c r="E700" t="s">
        <v>29</v>
      </c>
      <c r="F700">
        <v>0</v>
      </c>
      <c r="G700">
        <v>146.30000000000001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2.0299999999999998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 x14ac:dyDescent="0.25">
      <c r="A701" t="s">
        <v>59</v>
      </c>
      <c r="B701">
        <v>73</v>
      </c>
      <c r="C701">
        <v>415</v>
      </c>
      <c r="D701" t="s">
        <v>29</v>
      </c>
      <c r="E701" t="s">
        <v>29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 x14ac:dyDescent="0.25">
      <c r="A702" t="s">
        <v>72</v>
      </c>
      <c r="B702">
        <v>66</v>
      </c>
      <c r="C702">
        <v>408</v>
      </c>
      <c r="D702" t="s">
        <v>29</v>
      </c>
      <c r="E702" t="s">
        <v>30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 x14ac:dyDescent="0.25">
      <c r="A703" t="s">
        <v>69</v>
      </c>
      <c r="B703">
        <v>103</v>
      </c>
      <c r="C703">
        <v>510</v>
      </c>
      <c r="D703" t="s">
        <v>29</v>
      </c>
      <c r="E703" t="s">
        <v>30</v>
      </c>
      <c r="F703">
        <v>31</v>
      </c>
      <c r="G703">
        <v>107.7</v>
      </c>
      <c r="H703">
        <v>124</v>
      </c>
      <c r="I703">
        <v>18.309999999999999</v>
      </c>
      <c r="J703">
        <v>188.9</v>
      </c>
      <c r="K703">
        <v>104</v>
      </c>
      <c r="L703">
        <v>16.059999999999999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 x14ac:dyDescent="0.25">
      <c r="A704" t="s">
        <v>39</v>
      </c>
      <c r="B704">
        <v>128</v>
      </c>
      <c r="C704">
        <v>408</v>
      </c>
      <c r="D704" t="s">
        <v>29</v>
      </c>
      <c r="E704" t="s">
        <v>29</v>
      </c>
      <c r="F704">
        <v>0</v>
      </c>
      <c r="G704">
        <v>158.80000000000001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2.0499999999999998</v>
      </c>
      <c r="S704">
        <v>1</v>
      </c>
      <c r="T704" t="b">
        <v>0</v>
      </c>
    </row>
    <row r="705" spans="1:20" x14ac:dyDescent="0.25">
      <c r="A705" t="s">
        <v>46</v>
      </c>
      <c r="B705">
        <v>104</v>
      </c>
      <c r="C705">
        <v>415</v>
      </c>
      <c r="D705" t="s">
        <v>29</v>
      </c>
      <c r="E705" t="s">
        <v>29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 x14ac:dyDescent="0.25">
      <c r="A706" t="s">
        <v>66</v>
      </c>
      <c r="B706">
        <v>103</v>
      </c>
      <c r="C706">
        <v>415</v>
      </c>
      <c r="D706" t="s">
        <v>29</v>
      </c>
      <c r="E706" t="s">
        <v>29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 x14ac:dyDescent="0.25">
      <c r="A707" t="s">
        <v>47</v>
      </c>
      <c r="B707">
        <v>87</v>
      </c>
      <c r="C707">
        <v>510</v>
      </c>
      <c r="D707" t="s">
        <v>29</v>
      </c>
      <c r="E707" t="s">
        <v>29</v>
      </c>
      <c r="F707">
        <v>0</v>
      </c>
      <c r="G707">
        <v>110.9</v>
      </c>
      <c r="H707">
        <v>91</v>
      </c>
      <c r="I707">
        <v>18.850000000000001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 x14ac:dyDescent="0.25">
      <c r="A708" t="s">
        <v>52</v>
      </c>
      <c r="B708">
        <v>109</v>
      </c>
      <c r="C708">
        <v>415</v>
      </c>
      <c r="D708" t="s">
        <v>29</v>
      </c>
      <c r="E708" t="s">
        <v>30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8.8800000000000008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 x14ac:dyDescent="0.25">
      <c r="A709" t="s">
        <v>72</v>
      </c>
      <c r="B709">
        <v>97</v>
      </c>
      <c r="C709">
        <v>510</v>
      </c>
      <c r="D709" t="s">
        <v>29</v>
      </c>
      <c r="E709" t="s">
        <v>29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 x14ac:dyDescent="0.25">
      <c r="A710" t="s">
        <v>55</v>
      </c>
      <c r="B710">
        <v>106</v>
      </c>
      <c r="C710">
        <v>415</v>
      </c>
      <c r="D710" t="s">
        <v>29</v>
      </c>
      <c r="E710" t="s">
        <v>29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17.850000000000001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2.2999999999999998</v>
      </c>
      <c r="S710">
        <v>2</v>
      </c>
      <c r="T710" t="b">
        <v>0</v>
      </c>
    </row>
    <row r="711" spans="1:20" x14ac:dyDescent="0.25">
      <c r="A711" t="s">
        <v>42</v>
      </c>
      <c r="B711">
        <v>125</v>
      </c>
      <c r="C711">
        <v>415</v>
      </c>
      <c r="D711" t="s">
        <v>29</v>
      </c>
      <c r="E711" t="s">
        <v>29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9.2799999999999994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 x14ac:dyDescent="0.25">
      <c r="A712" t="s">
        <v>69</v>
      </c>
      <c r="B712">
        <v>108</v>
      </c>
      <c r="C712">
        <v>408</v>
      </c>
      <c r="D712" t="s">
        <v>29</v>
      </c>
      <c r="E712" t="s">
        <v>30</v>
      </c>
      <c r="F712">
        <v>35</v>
      </c>
      <c r="G712">
        <v>215.9</v>
      </c>
      <c r="H712">
        <v>106</v>
      </c>
      <c r="I712">
        <v>36.700000000000003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8.7899999999999991</v>
      </c>
      <c r="P712">
        <v>15.5</v>
      </c>
      <c r="Q712">
        <v>7</v>
      </c>
      <c r="R712">
        <v>4.1900000000000004</v>
      </c>
      <c r="S712">
        <v>0</v>
      </c>
      <c r="T712" t="b">
        <v>0</v>
      </c>
    </row>
    <row r="713" spans="1:20" x14ac:dyDescent="0.25">
      <c r="A713" t="s">
        <v>49</v>
      </c>
      <c r="B713">
        <v>125</v>
      </c>
      <c r="C713">
        <v>415</v>
      </c>
      <c r="D713" t="s">
        <v>29</v>
      </c>
      <c r="E713" t="s">
        <v>29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264.10000000000002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 x14ac:dyDescent="0.25">
      <c r="A714" t="s">
        <v>43</v>
      </c>
      <c r="B714">
        <v>72</v>
      </c>
      <c r="C714">
        <v>510</v>
      </c>
      <c r="D714" t="s">
        <v>30</v>
      </c>
      <c r="E714" t="s">
        <v>30</v>
      </c>
      <c r="F714">
        <v>29</v>
      </c>
      <c r="G714">
        <v>139.80000000000001</v>
      </c>
      <c r="H714">
        <v>114</v>
      </c>
      <c r="I714">
        <v>23.77</v>
      </c>
      <c r="J714">
        <v>138.19999999999999</v>
      </c>
      <c r="K714">
        <v>91</v>
      </c>
      <c r="L714">
        <v>11.75</v>
      </c>
      <c r="M714">
        <v>221</v>
      </c>
      <c r="N714">
        <v>88</v>
      </c>
      <c r="O714">
        <v>9.9499999999999993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 x14ac:dyDescent="0.25">
      <c r="A715" t="s">
        <v>80</v>
      </c>
      <c r="B715">
        <v>23</v>
      </c>
      <c r="C715">
        <v>510</v>
      </c>
      <c r="D715" t="s">
        <v>29</v>
      </c>
      <c r="E715" t="s">
        <v>29</v>
      </c>
      <c r="F715">
        <v>0</v>
      </c>
      <c r="G715">
        <v>321.60000000000002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 x14ac:dyDescent="0.25">
      <c r="A716" t="s">
        <v>78</v>
      </c>
      <c r="B716">
        <v>149</v>
      </c>
      <c r="C716">
        <v>510</v>
      </c>
      <c r="D716" t="s">
        <v>29</v>
      </c>
      <c r="E716" t="s">
        <v>29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18.600000000000001</v>
      </c>
      <c r="M716">
        <v>208.3</v>
      </c>
      <c r="N716">
        <v>131</v>
      </c>
      <c r="O716">
        <v>9.3699999999999992</v>
      </c>
      <c r="P716">
        <v>8.1999999999999993</v>
      </c>
      <c r="Q716">
        <v>6</v>
      </c>
      <c r="R716">
        <v>2.21</v>
      </c>
      <c r="S716">
        <v>7</v>
      </c>
      <c r="T716" t="b">
        <v>0</v>
      </c>
    </row>
    <row r="717" spans="1:20" x14ac:dyDescent="0.25">
      <c r="A717" t="s">
        <v>57</v>
      </c>
      <c r="B717">
        <v>73</v>
      </c>
      <c r="C717">
        <v>415</v>
      </c>
      <c r="D717" t="s">
        <v>29</v>
      </c>
      <c r="E717" t="s">
        <v>29</v>
      </c>
      <c r="F717">
        <v>0</v>
      </c>
      <c r="G717">
        <v>214.2</v>
      </c>
      <c r="H717">
        <v>90</v>
      </c>
      <c r="I717">
        <v>36.409999999999997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 x14ac:dyDescent="0.25">
      <c r="A718" t="s">
        <v>55</v>
      </c>
      <c r="B718">
        <v>61</v>
      </c>
      <c r="C718">
        <v>415</v>
      </c>
      <c r="D718" t="s">
        <v>29</v>
      </c>
      <c r="E718" t="s">
        <v>29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2.4300000000000002</v>
      </c>
      <c r="S718">
        <v>1</v>
      </c>
      <c r="T718" t="b">
        <v>1</v>
      </c>
    </row>
    <row r="719" spans="1:20" x14ac:dyDescent="0.25">
      <c r="A719" t="s">
        <v>37</v>
      </c>
      <c r="B719">
        <v>161</v>
      </c>
      <c r="C719">
        <v>415</v>
      </c>
      <c r="D719" t="s">
        <v>29</v>
      </c>
      <c r="E719" t="s">
        <v>29</v>
      </c>
      <c r="F719">
        <v>0</v>
      </c>
      <c r="G719">
        <v>191.9</v>
      </c>
      <c r="H719">
        <v>113</v>
      </c>
      <c r="I719">
        <v>32.619999999999997</v>
      </c>
      <c r="J719">
        <v>70.900000000000006</v>
      </c>
      <c r="K719">
        <v>87</v>
      </c>
      <c r="L719">
        <v>6.03</v>
      </c>
      <c r="M719">
        <v>204.8</v>
      </c>
      <c r="N719">
        <v>107</v>
      </c>
      <c r="O719">
        <v>9.2200000000000006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 x14ac:dyDescent="0.25">
      <c r="A720" t="s">
        <v>61</v>
      </c>
      <c r="B720">
        <v>118</v>
      </c>
      <c r="C720">
        <v>415</v>
      </c>
      <c r="D720" t="s">
        <v>29</v>
      </c>
      <c r="E720" t="s">
        <v>30</v>
      </c>
      <c r="F720">
        <v>24</v>
      </c>
      <c r="G720">
        <v>118.1</v>
      </c>
      <c r="H720">
        <v>83</v>
      </c>
      <c r="I720">
        <v>20.079999999999998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16.899999999999999</v>
      </c>
      <c r="Q720">
        <v>2</v>
      </c>
      <c r="R720">
        <v>4.5599999999999996</v>
      </c>
      <c r="S720">
        <v>1</v>
      </c>
      <c r="T720" t="b">
        <v>0</v>
      </c>
    </row>
    <row r="721" spans="1:20" x14ac:dyDescent="0.25">
      <c r="A721" t="s">
        <v>46</v>
      </c>
      <c r="B721">
        <v>23</v>
      </c>
      <c r="C721">
        <v>408</v>
      </c>
      <c r="D721" t="s">
        <v>29</v>
      </c>
      <c r="E721" t="s">
        <v>29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 x14ac:dyDescent="0.25">
      <c r="A722" t="s">
        <v>64</v>
      </c>
      <c r="B722">
        <v>127</v>
      </c>
      <c r="C722">
        <v>415</v>
      </c>
      <c r="D722" t="s">
        <v>29</v>
      </c>
      <c r="E722" t="s">
        <v>30</v>
      </c>
      <c r="F722">
        <v>25</v>
      </c>
      <c r="G722">
        <v>82.2</v>
      </c>
      <c r="H722">
        <v>95</v>
      </c>
      <c r="I722">
        <v>13.97</v>
      </c>
      <c r="J722">
        <v>163.30000000000001</v>
      </c>
      <c r="K722">
        <v>109</v>
      </c>
      <c r="L722">
        <v>13.88</v>
      </c>
      <c r="M722">
        <v>264.89999999999998</v>
      </c>
      <c r="N722">
        <v>104</v>
      </c>
      <c r="O722">
        <v>11.92</v>
      </c>
      <c r="P722">
        <v>5.0999999999999996</v>
      </c>
      <c r="Q722">
        <v>6</v>
      </c>
      <c r="R722">
        <v>1.38</v>
      </c>
      <c r="S722">
        <v>0</v>
      </c>
      <c r="T722" t="b">
        <v>0</v>
      </c>
    </row>
    <row r="723" spans="1:20" x14ac:dyDescent="0.25">
      <c r="A723" t="s">
        <v>32</v>
      </c>
      <c r="B723">
        <v>42</v>
      </c>
      <c r="C723">
        <v>415</v>
      </c>
      <c r="D723" t="s">
        <v>29</v>
      </c>
      <c r="E723" t="s">
        <v>30</v>
      </c>
      <c r="F723">
        <v>32</v>
      </c>
      <c r="G723">
        <v>163.80000000000001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 x14ac:dyDescent="0.25">
      <c r="A724" t="s">
        <v>56</v>
      </c>
      <c r="B724">
        <v>118</v>
      </c>
      <c r="C724">
        <v>415</v>
      </c>
      <c r="D724" t="s">
        <v>29</v>
      </c>
      <c r="E724" t="s">
        <v>29</v>
      </c>
      <c r="F724">
        <v>0</v>
      </c>
      <c r="G724">
        <v>267.8</v>
      </c>
      <c r="H724">
        <v>145</v>
      </c>
      <c r="I724">
        <v>45.53</v>
      </c>
      <c r="J724">
        <v>316.39999999999998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 x14ac:dyDescent="0.25">
      <c r="A725" t="s">
        <v>39</v>
      </c>
      <c r="B725">
        <v>45</v>
      </c>
      <c r="C725">
        <v>510</v>
      </c>
      <c r="D725" t="s">
        <v>29</v>
      </c>
      <c r="E725" t="s">
        <v>29</v>
      </c>
      <c r="F725">
        <v>0</v>
      </c>
      <c r="G725">
        <v>159.80000000000001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 x14ac:dyDescent="0.25">
      <c r="A726" t="s">
        <v>53</v>
      </c>
      <c r="B726">
        <v>50</v>
      </c>
      <c r="C726">
        <v>408</v>
      </c>
      <c r="D726" t="s">
        <v>29</v>
      </c>
      <c r="E726" t="s">
        <v>30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 x14ac:dyDescent="0.25">
      <c r="A727" t="s">
        <v>36</v>
      </c>
      <c r="B727">
        <v>179</v>
      </c>
      <c r="C727">
        <v>510</v>
      </c>
      <c r="D727" t="s">
        <v>29</v>
      </c>
      <c r="E727" t="s">
        <v>29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 x14ac:dyDescent="0.25">
      <c r="A728" t="s">
        <v>36</v>
      </c>
      <c r="B728">
        <v>152</v>
      </c>
      <c r="C728">
        <v>408</v>
      </c>
      <c r="D728" t="s">
        <v>29</v>
      </c>
      <c r="E728" t="s">
        <v>29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2.0299999999999998</v>
      </c>
      <c r="S728">
        <v>2</v>
      </c>
      <c r="T728" t="b">
        <v>0</v>
      </c>
    </row>
    <row r="729" spans="1:20" x14ac:dyDescent="0.25">
      <c r="A729" t="s">
        <v>49</v>
      </c>
      <c r="B729">
        <v>105</v>
      </c>
      <c r="C729">
        <v>415</v>
      </c>
      <c r="D729" t="s">
        <v>29</v>
      </c>
      <c r="E729" t="s">
        <v>29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 x14ac:dyDescent="0.25">
      <c r="A730" t="s">
        <v>78</v>
      </c>
      <c r="B730">
        <v>72</v>
      </c>
      <c r="C730">
        <v>415</v>
      </c>
      <c r="D730" t="s">
        <v>29</v>
      </c>
      <c r="E730" t="s">
        <v>29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8.3000000000000007</v>
      </c>
      <c r="Q730">
        <v>6</v>
      </c>
      <c r="R730">
        <v>2.2400000000000002</v>
      </c>
      <c r="S730">
        <v>0</v>
      </c>
      <c r="T730" t="b">
        <v>0</v>
      </c>
    </row>
    <row r="731" spans="1:20" x14ac:dyDescent="0.25">
      <c r="A731" t="s">
        <v>77</v>
      </c>
      <c r="B731">
        <v>52</v>
      </c>
      <c r="C731">
        <v>408</v>
      </c>
      <c r="D731" t="s">
        <v>29</v>
      </c>
      <c r="E731" t="s">
        <v>29</v>
      </c>
      <c r="F731">
        <v>0</v>
      </c>
      <c r="G731">
        <v>215.9</v>
      </c>
      <c r="H731">
        <v>67</v>
      </c>
      <c r="I731">
        <v>36.700000000000003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 x14ac:dyDescent="0.25">
      <c r="A732" t="s">
        <v>44</v>
      </c>
      <c r="B732">
        <v>125</v>
      </c>
      <c r="C732">
        <v>415</v>
      </c>
      <c r="D732" t="s">
        <v>29</v>
      </c>
      <c r="E732" t="s">
        <v>29</v>
      </c>
      <c r="F732">
        <v>0</v>
      </c>
      <c r="G732">
        <v>203.4</v>
      </c>
      <c r="H732">
        <v>110</v>
      </c>
      <c r="I732">
        <v>34.58</v>
      </c>
      <c r="J732">
        <v>128.69999999999999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 x14ac:dyDescent="0.25">
      <c r="A733" t="s">
        <v>43</v>
      </c>
      <c r="B733">
        <v>143</v>
      </c>
      <c r="C733">
        <v>510</v>
      </c>
      <c r="D733" t="s">
        <v>29</v>
      </c>
      <c r="E733" t="s">
        <v>29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9.1999999999999993</v>
      </c>
      <c r="Q733">
        <v>2</v>
      </c>
      <c r="R733">
        <v>2.48</v>
      </c>
      <c r="S733">
        <v>1</v>
      </c>
      <c r="T733" t="b">
        <v>0</v>
      </c>
    </row>
    <row r="734" spans="1:20" x14ac:dyDescent="0.25">
      <c r="A734" t="s">
        <v>38</v>
      </c>
      <c r="B734">
        <v>65</v>
      </c>
      <c r="C734">
        <v>415</v>
      </c>
      <c r="D734" t="s">
        <v>29</v>
      </c>
      <c r="E734" t="s">
        <v>29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4.4000000000000004</v>
      </c>
      <c r="Q734">
        <v>14</v>
      </c>
      <c r="R734">
        <v>1.19</v>
      </c>
      <c r="S734">
        <v>1</v>
      </c>
      <c r="T734" t="b">
        <v>0</v>
      </c>
    </row>
    <row r="735" spans="1:20" x14ac:dyDescent="0.25">
      <c r="A735" t="s">
        <v>57</v>
      </c>
      <c r="B735">
        <v>80</v>
      </c>
      <c r="C735">
        <v>415</v>
      </c>
      <c r="D735" t="s">
        <v>29</v>
      </c>
      <c r="E735" t="s">
        <v>29</v>
      </c>
      <c r="F735">
        <v>0</v>
      </c>
      <c r="G735">
        <v>239.9</v>
      </c>
      <c r="H735">
        <v>121</v>
      </c>
      <c r="I735">
        <v>40.78</v>
      </c>
      <c r="J735">
        <v>142.30000000000001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9.3000000000000007</v>
      </c>
      <c r="Q735">
        <v>5</v>
      </c>
      <c r="R735">
        <v>2.5099999999999998</v>
      </c>
      <c r="S735">
        <v>1</v>
      </c>
      <c r="T735" t="b">
        <v>0</v>
      </c>
    </row>
    <row r="736" spans="1:20" x14ac:dyDescent="0.25">
      <c r="A736" t="s">
        <v>64</v>
      </c>
      <c r="B736">
        <v>43</v>
      </c>
      <c r="C736">
        <v>415</v>
      </c>
      <c r="D736" t="s">
        <v>29</v>
      </c>
      <c r="E736" t="s">
        <v>29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 x14ac:dyDescent="0.25">
      <c r="A737" t="s">
        <v>68</v>
      </c>
      <c r="B737">
        <v>143</v>
      </c>
      <c r="C737">
        <v>415</v>
      </c>
      <c r="D737" t="s">
        <v>29</v>
      </c>
      <c r="E737" t="s">
        <v>29</v>
      </c>
      <c r="F737">
        <v>0</v>
      </c>
      <c r="G737">
        <v>209.1</v>
      </c>
      <c r="H737">
        <v>127</v>
      </c>
      <c r="I737">
        <v>35.549999999999997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 x14ac:dyDescent="0.25">
      <c r="A738" t="s">
        <v>61</v>
      </c>
      <c r="B738">
        <v>81</v>
      </c>
      <c r="C738">
        <v>415</v>
      </c>
      <c r="D738" t="s">
        <v>29</v>
      </c>
      <c r="E738" t="s">
        <v>30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139.30000000000001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 x14ac:dyDescent="0.25">
      <c r="A739" t="s">
        <v>72</v>
      </c>
      <c r="B739">
        <v>205</v>
      </c>
      <c r="C739">
        <v>510</v>
      </c>
      <c r="D739" t="s">
        <v>29</v>
      </c>
      <c r="E739" t="s">
        <v>30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8.1300000000000008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 x14ac:dyDescent="0.25">
      <c r="A740" t="s">
        <v>78</v>
      </c>
      <c r="B740">
        <v>24</v>
      </c>
      <c r="C740">
        <v>415</v>
      </c>
      <c r="D740" t="s">
        <v>29</v>
      </c>
      <c r="E740" t="s">
        <v>29</v>
      </c>
      <c r="F740">
        <v>0</v>
      </c>
      <c r="G740">
        <v>241.9</v>
      </c>
      <c r="H740">
        <v>104</v>
      </c>
      <c r="I740">
        <v>41.12</v>
      </c>
      <c r="J740">
        <v>145.19999999999999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 x14ac:dyDescent="0.25">
      <c r="A741" t="s">
        <v>31</v>
      </c>
      <c r="B741">
        <v>74</v>
      </c>
      <c r="C741">
        <v>415</v>
      </c>
      <c r="D741" t="s">
        <v>29</v>
      </c>
      <c r="E741" t="s">
        <v>29</v>
      </c>
      <c r="F741">
        <v>0</v>
      </c>
      <c r="G741">
        <v>136.69999999999999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9.8000000000000007</v>
      </c>
      <c r="Q741">
        <v>4</v>
      </c>
      <c r="R741">
        <v>2.65</v>
      </c>
      <c r="S741">
        <v>0</v>
      </c>
      <c r="T741" t="b">
        <v>0</v>
      </c>
    </row>
    <row r="742" spans="1:20" x14ac:dyDescent="0.25">
      <c r="A742" t="s">
        <v>33</v>
      </c>
      <c r="B742">
        <v>74</v>
      </c>
      <c r="C742">
        <v>415</v>
      </c>
      <c r="D742" t="s">
        <v>29</v>
      </c>
      <c r="E742" t="s">
        <v>29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 x14ac:dyDescent="0.25">
      <c r="A743" t="s">
        <v>71</v>
      </c>
      <c r="B743">
        <v>74</v>
      </c>
      <c r="C743">
        <v>510</v>
      </c>
      <c r="D743" t="s">
        <v>30</v>
      </c>
      <c r="E743" t="s">
        <v>29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17.649999999999999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 x14ac:dyDescent="0.25">
      <c r="A744" t="s">
        <v>34</v>
      </c>
      <c r="B744">
        <v>200</v>
      </c>
      <c r="C744">
        <v>408</v>
      </c>
      <c r="D744" t="s">
        <v>29</v>
      </c>
      <c r="E744" t="s">
        <v>29</v>
      </c>
      <c r="F744">
        <v>0</v>
      </c>
      <c r="G744">
        <v>128.19999999999999</v>
      </c>
      <c r="H744">
        <v>87</v>
      </c>
      <c r="I744">
        <v>21.79</v>
      </c>
      <c r="J744">
        <v>133.19999999999999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 x14ac:dyDescent="0.25">
      <c r="A745" t="s">
        <v>55</v>
      </c>
      <c r="B745">
        <v>86</v>
      </c>
      <c r="C745">
        <v>408</v>
      </c>
      <c r="D745" t="s">
        <v>29</v>
      </c>
      <c r="E745" t="s">
        <v>29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 x14ac:dyDescent="0.25">
      <c r="A746" t="s">
        <v>48</v>
      </c>
      <c r="B746">
        <v>91</v>
      </c>
      <c r="C746">
        <v>510</v>
      </c>
      <c r="D746" t="s">
        <v>29</v>
      </c>
      <c r="E746" t="s">
        <v>30</v>
      </c>
      <c r="F746">
        <v>37</v>
      </c>
      <c r="G746">
        <v>162.30000000000001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277.39999999999998</v>
      </c>
      <c r="N746">
        <v>94</v>
      </c>
      <c r="O746">
        <v>12.48</v>
      </c>
      <c r="P746">
        <v>9.1999999999999993</v>
      </c>
      <c r="Q746">
        <v>4</v>
      </c>
      <c r="R746">
        <v>2.48</v>
      </c>
      <c r="S746">
        <v>0</v>
      </c>
      <c r="T746" t="b">
        <v>0</v>
      </c>
    </row>
    <row r="747" spans="1:20" x14ac:dyDescent="0.25">
      <c r="A747" t="s">
        <v>44</v>
      </c>
      <c r="B747">
        <v>130</v>
      </c>
      <c r="C747">
        <v>415</v>
      </c>
      <c r="D747" t="s">
        <v>29</v>
      </c>
      <c r="E747" t="s">
        <v>29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270.10000000000002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 x14ac:dyDescent="0.25">
      <c r="A748" t="s">
        <v>31</v>
      </c>
      <c r="B748">
        <v>56</v>
      </c>
      <c r="C748">
        <v>408</v>
      </c>
      <c r="D748" t="s">
        <v>29</v>
      </c>
      <c r="E748" t="s">
        <v>29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 x14ac:dyDescent="0.25">
      <c r="A749" t="s">
        <v>59</v>
      </c>
      <c r="B749">
        <v>117</v>
      </c>
      <c r="C749">
        <v>415</v>
      </c>
      <c r="D749" t="s">
        <v>29</v>
      </c>
      <c r="E749" t="s">
        <v>29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9.2200000000000006</v>
      </c>
      <c r="P749">
        <v>15.5</v>
      </c>
      <c r="Q749">
        <v>4</v>
      </c>
      <c r="R749">
        <v>4.1900000000000004</v>
      </c>
      <c r="S749">
        <v>0</v>
      </c>
      <c r="T749" t="b">
        <v>0</v>
      </c>
    </row>
    <row r="750" spans="1:20" x14ac:dyDescent="0.25">
      <c r="A750" t="s">
        <v>42</v>
      </c>
      <c r="B750">
        <v>126</v>
      </c>
      <c r="C750">
        <v>415</v>
      </c>
      <c r="D750" t="s">
        <v>29</v>
      </c>
      <c r="E750" t="s">
        <v>29</v>
      </c>
      <c r="F750">
        <v>0</v>
      </c>
      <c r="G750">
        <v>226.2</v>
      </c>
      <c r="H750">
        <v>88</v>
      </c>
      <c r="I750">
        <v>38.450000000000003</v>
      </c>
      <c r="J750">
        <v>140.30000000000001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 x14ac:dyDescent="0.25">
      <c r="A751" t="s">
        <v>58</v>
      </c>
      <c r="B751">
        <v>132</v>
      </c>
      <c r="C751">
        <v>510</v>
      </c>
      <c r="D751" t="s">
        <v>29</v>
      </c>
      <c r="E751" t="s">
        <v>29</v>
      </c>
      <c r="F751">
        <v>0</v>
      </c>
      <c r="G751">
        <v>191.9</v>
      </c>
      <c r="H751">
        <v>107</v>
      </c>
      <c r="I751">
        <v>32.619999999999997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 x14ac:dyDescent="0.25">
      <c r="A752" t="s">
        <v>68</v>
      </c>
      <c r="B752">
        <v>81</v>
      </c>
      <c r="C752">
        <v>415</v>
      </c>
      <c r="D752" t="s">
        <v>29</v>
      </c>
      <c r="E752" t="s">
        <v>30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9.1999999999999993</v>
      </c>
      <c r="Q752">
        <v>6</v>
      </c>
      <c r="R752">
        <v>2.48</v>
      </c>
      <c r="S752">
        <v>4</v>
      </c>
      <c r="T752" t="b">
        <v>1</v>
      </c>
    </row>
    <row r="753" spans="1:20" x14ac:dyDescent="0.25">
      <c r="A753" t="s">
        <v>64</v>
      </c>
      <c r="B753">
        <v>122</v>
      </c>
      <c r="C753">
        <v>415</v>
      </c>
      <c r="D753" t="s">
        <v>29</v>
      </c>
      <c r="E753" t="s">
        <v>29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 x14ac:dyDescent="0.25">
      <c r="A754" t="s">
        <v>32</v>
      </c>
      <c r="B754">
        <v>46</v>
      </c>
      <c r="C754">
        <v>408</v>
      </c>
      <c r="D754" t="s">
        <v>29</v>
      </c>
      <c r="E754" t="s">
        <v>29</v>
      </c>
      <c r="F754">
        <v>0</v>
      </c>
      <c r="G754">
        <v>257.39999999999998</v>
      </c>
      <c r="H754">
        <v>67</v>
      </c>
      <c r="I754">
        <v>43.76</v>
      </c>
      <c r="J754">
        <v>261.10000000000002</v>
      </c>
      <c r="K754">
        <v>91</v>
      </c>
      <c r="L754">
        <v>22.19</v>
      </c>
      <c r="M754">
        <v>204.4</v>
      </c>
      <c r="N754">
        <v>107</v>
      </c>
      <c r="O754">
        <v>9.1999999999999993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 x14ac:dyDescent="0.25">
      <c r="A755" t="s">
        <v>41</v>
      </c>
      <c r="B755">
        <v>99</v>
      </c>
      <c r="C755">
        <v>408</v>
      </c>
      <c r="D755" t="s">
        <v>29</v>
      </c>
      <c r="E755" t="s">
        <v>29</v>
      </c>
      <c r="F755">
        <v>0</v>
      </c>
      <c r="G755">
        <v>159.69999999999999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 x14ac:dyDescent="0.25">
      <c r="A756" t="s">
        <v>34</v>
      </c>
      <c r="B756">
        <v>87</v>
      </c>
      <c r="C756">
        <v>408</v>
      </c>
      <c r="D756" t="s">
        <v>29</v>
      </c>
      <c r="E756" t="s">
        <v>29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18.920000000000002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 x14ac:dyDescent="0.25">
      <c r="A757" t="s">
        <v>54</v>
      </c>
      <c r="B757">
        <v>108</v>
      </c>
      <c r="C757">
        <v>415</v>
      </c>
      <c r="D757" t="s">
        <v>29</v>
      </c>
      <c r="E757" t="s">
        <v>29</v>
      </c>
      <c r="F757">
        <v>0</v>
      </c>
      <c r="G757">
        <v>103</v>
      </c>
      <c r="H757">
        <v>129</v>
      </c>
      <c r="I757">
        <v>17.510000000000002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 x14ac:dyDescent="0.25">
      <c r="A758" t="s">
        <v>77</v>
      </c>
      <c r="B758">
        <v>53</v>
      </c>
      <c r="C758">
        <v>415</v>
      </c>
      <c r="D758" t="s">
        <v>29</v>
      </c>
      <c r="E758" t="s">
        <v>29</v>
      </c>
      <c r="F758">
        <v>0</v>
      </c>
      <c r="G758">
        <v>205.1</v>
      </c>
      <c r="H758">
        <v>86</v>
      </c>
      <c r="I758">
        <v>34.869999999999997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 x14ac:dyDescent="0.25">
      <c r="A759" t="s">
        <v>68</v>
      </c>
      <c r="B759">
        <v>144</v>
      </c>
      <c r="C759">
        <v>415</v>
      </c>
      <c r="D759" t="s">
        <v>30</v>
      </c>
      <c r="E759" t="s">
        <v>29</v>
      </c>
      <c r="F759">
        <v>0</v>
      </c>
      <c r="G759">
        <v>150</v>
      </c>
      <c r="H759">
        <v>69</v>
      </c>
      <c r="I759">
        <v>25.5</v>
      </c>
      <c r="J759">
        <v>285.89999999999998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 x14ac:dyDescent="0.25">
      <c r="A760" t="s">
        <v>34</v>
      </c>
      <c r="B760">
        <v>91</v>
      </c>
      <c r="C760">
        <v>510</v>
      </c>
      <c r="D760" t="s">
        <v>29</v>
      </c>
      <c r="E760" t="s">
        <v>30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 x14ac:dyDescent="0.25">
      <c r="A761" t="s">
        <v>53</v>
      </c>
      <c r="B761">
        <v>58</v>
      </c>
      <c r="C761">
        <v>408</v>
      </c>
      <c r="D761" t="s">
        <v>29</v>
      </c>
      <c r="E761" t="s">
        <v>29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8.7200000000000006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 x14ac:dyDescent="0.25">
      <c r="A762" t="s">
        <v>56</v>
      </c>
      <c r="B762">
        <v>5</v>
      </c>
      <c r="C762">
        <v>415</v>
      </c>
      <c r="D762" t="s">
        <v>29</v>
      </c>
      <c r="E762" t="s">
        <v>29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9.6300000000000008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 x14ac:dyDescent="0.25">
      <c r="A763" t="s">
        <v>35</v>
      </c>
      <c r="B763">
        <v>97</v>
      </c>
      <c r="C763">
        <v>408</v>
      </c>
      <c r="D763" t="s">
        <v>29</v>
      </c>
      <c r="E763" t="s">
        <v>29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150.69999999999999</v>
      </c>
      <c r="N763">
        <v>110</v>
      </c>
      <c r="O763">
        <v>6.78</v>
      </c>
      <c r="P763">
        <v>4.2</v>
      </c>
      <c r="Q763">
        <v>3</v>
      </c>
      <c r="R763">
        <v>1.1299999999999999</v>
      </c>
      <c r="S763">
        <v>0</v>
      </c>
      <c r="T763" t="b">
        <v>0</v>
      </c>
    </row>
    <row r="764" spans="1:20" x14ac:dyDescent="0.25">
      <c r="A764" t="s">
        <v>36</v>
      </c>
      <c r="B764">
        <v>142</v>
      </c>
      <c r="C764">
        <v>415</v>
      </c>
      <c r="D764" t="s">
        <v>29</v>
      </c>
      <c r="E764" t="s">
        <v>30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 x14ac:dyDescent="0.25">
      <c r="A765" t="s">
        <v>70</v>
      </c>
      <c r="B765">
        <v>9</v>
      </c>
      <c r="C765">
        <v>408</v>
      </c>
      <c r="D765" t="s">
        <v>29</v>
      </c>
      <c r="E765" t="s">
        <v>30</v>
      </c>
      <c r="F765">
        <v>31</v>
      </c>
      <c r="G765">
        <v>193.8</v>
      </c>
      <c r="H765">
        <v>130</v>
      </c>
      <c r="I765">
        <v>32.950000000000003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 x14ac:dyDescent="0.25">
      <c r="A766" t="s">
        <v>47</v>
      </c>
      <c r="B766">
        <v>73</v>
      </c>
      <c r="C766">
        <v>415</v>
      </c>
      <c r="D766" t="s">
        <v>29</v>
      </c>
      <c r="E766" t="s">
        <v>29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 x14ac:dyDescent="0.25">
      <c r="A767" t="s">
        <v>37</v>
      </c>
      <c r="B767">
        <v>43</v>
      </c>
      <c r="C767">
        <v>408</v>
      </c>
      <c r="D767" t="s">
        <v>29</v>
      </c>
      <c r="E767" t="s">
        <v>29</v>
      </c>
      <c r="F767">
        <v>0</v>
      </c>
      <c r="G767">
        <v>230.2</v>
      </c>
      <c r="H767">
        <v>147</v>
      </c>
      <c r="I767">
        <v>39.130000000000003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9.1999999999999993</v>
      </c>
      <c r="Q767">
        <v>3</v>
      </c>
      <c r="R767">
        <v>2.48</v>
      </c>
      <c r="S767">
        <v>0</v>
      </c>
      <c r="T767" t="b">
        <v>0</v>
      </c>
    </row>
    <row r="768" spans="1:20" x14ac:dyDescent="0.25">
      <c r="A768" t="s">
        <v>67</v>
      </c>
      <c r="B768">
        <v>122</v>
      </c>
      <c r="C768">
        <v>408</v>
      </c>
      <c r="D768" t="s">
        <v>29</v>
      </c>
      <c r="E768" t="s">
        <v>30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 x14ac:dyDescent="0.25">
      <c r="A769" t="s">
        <v>75</v>
      </c>
      <c r="B769">
        <v>93</v>
      </c>
      <c r="C769">
        <v>415</v>
      </c>
      <c r="D769" t="s">
        <v>29</v>
      </c>
      <c r="E769" t="s">
        <v>29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8.8000000000000007</v>
      </c>
      <c r="Q769">
        <v>4</v>
      </c>
      <c r="R769">
        <v>2.38</v>
      </c>
      <c r="S769">
        <v>0</v>
      </c>
      <c r="T769" t="b">
        <v>0</v>
      </c>
    </row>
    <row r="770" spans="1:20" x14ac:dyDescent="0.25">
      <c r="A770" t="s">
        <v>42</v>
      </c>
      <c r="B770">
        <v>85</v>
      </c>
      <c r="C770">
        <v>415</v>
      </c>
      <c r="D770" t="s">
        <v>29</v>
      </c>
      <c r="E770" t="s">
        <v>29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9.8800000000000008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 x14ac:dyDescent="0.25">
      <c r="A771" t="s">
        <v>52</v>
      </c>
      <c r="B771">
        <v>87</v>
      </c>
      <c r="C771">
        <v>415</v>
      </c>
      <c r="D771" t="s">
        <v>29</v>
      </c>
      <c r="E771" t="s">
        <v>29</v>
      </c>
      <c r="F771">
        <v>0</v>
      </c>
      <c r="G771">
        <v>228.7</v>
      </c>
      <c r="H771">
        <v>90</v>
      </c>
      <c r="I771">
        <v>38.880000000000003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 x14ac:dyDescent="0.25">
      <c r="A772" t="s">
        <v>31</v>
      </c>
      <c r="B772">
        <v>137</v>
      </c>
      <c r="C772">
        <v>408</v>
      </c>
      <c r="D772" t="s">
        <v>29</v>
      </c>
      <c r="E772" t="s">
        <v>29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 x14ac:dyDescent="0.25">
      <c r="A773" t="s">
        <v>58</v>
      </c>
      <c r="B773">
        <v>21</v>
      </c>
      <c r="C773">
        <v>510</v>
      </c>
      <c r="D773" t="s">
        <v>29</v>
      </c>
      <c r="E773" t="s">
        <v>30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 x14ac:dyDescent="0.25">
      <c r="A774" t="s">
        <v>71</v>
      </c>
      <c r="B774">
        <v>104</v>
      </c>
      <c r="C774">
        <v>415</v>
      </c>
      <c r="D774" t="s">
        <v>29</v>
      </c>
      <c r="E774" t="s">
        <v>29</v>
      </c>
      <c r="F774">
        <v>0</v>
      </c>
      <c r="G774">
        <v>130.5</v>
      </c>
      <c r="H774">
        <v>77</v>
      </c>
      <c r="I774">
        <v>22.19</v>
      </c>
      <c r="J774">
        <v>131.19999999999999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 x14ac:dyDescent="0.25">
      <c r="A775" t="s">
        <v>53</v>
      </c>
      <c r="B775">
        <v>93</v>
      </c>
      <c r="C775">
        <v>408</v>
      </c>
      <c r="D775" t="s">
        <v>29</v>
      </c>
      <c r="E775" t="s">
        <v>30</v>
      </c>
      <c r="F775">
        <v>21</v>
      </c>
      <c r="G775">
        <v>134.19999999999999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 x14ac:dyDescent="0.25">
      <c r="A776" t="s">
        <v>42</v>
      </c>
      <c r="B776">
        <v>63</v>
      </c>
      <c r="C776">
        <v>415</v>
      </c>
      <c r="D776" t="s">
        <v>29</v>
      </c>
      <c r="E776" t="s">
        <v>29</v>
      </c>
      <c r="F776">
        <v>0</v>
      </c>
      <c r="G776">
        <v>278</v>
      </c>
      <c r="H776">
        <v>102</v>
      </c>
      <c r="I776">
        <v>47.26</v>
      </c>
      <c r="J776">
        <v>266.39999999999998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 x14ac:dyDescent="0.25">
      <c r="A777" t="s">
        <v>58</v>
      </c>
      <c r="B777">
        <v>161</v>
      </c>
      <c r="C777">
        <v>415</v>
      </c>
      <c r="D777" t="s">
        <v>29</v>
      </c>
      <c r="E777" t="s">
        <v>29</v>
      </c>
      <c r="F777">
        <v>0</v>
      </c>
      <c r="G777">
        <v>105.4</v>
      </c>
      <c r="H777">
        <v>70</v>
      </c>
      <c r="I777">
        <v>17.920000000000002</v>
      </c>
      <c r="J777">
        <v>214.8</v>
      </c>
      <c r="K777">
        <v>122</v>
      </c>
      <c r="L777">
        <v>18.260000000000002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 x14ac:dyDescent="0.25">
      <c r="A778" t="s">
        <v>36</v>
      </c>
      <c r="B778">
        <v>103</v>
      </c>
      <c r="C778">
        <v>408</v>
      </c>
      <c r="D778" t="s">
        <v>29</v>
      </c>
      <c r="E778" t="s">
        <v>30</v>
      </c>
      <c r="F778">
        <v>24</v>
      </c>
      <c r="G778">
        <v>111.8</v>
      </c>
      <c r="H778">
        <v>85</v>
      </c>
      <c r="I778">
        <v>19.010000000000002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 x14ac:dyDescent="0.25">
      <c r="A779" t="s">
        <v>79</v>
      </c>
      <c r="B779">
        <v>84</v>
      </c>
      <c r="C779">
        <v>415</v>
      </c>
      <c r="D779" t="s">
        <v>29</v>
      </c>
      <c r="E779" t="s">
        <v>30</v>
      </c>
      <c r="F779">
        <v>33</v>
      </c>
      <c r="G779">
        <v>159.1</v>
      </c>
      <c r="H779">
        <v>106</v>
      </c>
      <c r="I779">
        <v>27.05</v>
      </c>
      <c r="J779">
        <v>149.80000000000001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 x14ac:dyDescent="0.25">
      <c r="A780" t="s">
        <v>66</v>
      </c>
      <c r="B780">
        <v>92</v>
      </c>
      <c r="C780">
        <v>510</v>
      </c>
      <c r="D780" t="s">
        <v>29</v>
      </c>
      <c r="E780" t="s">
        <v>29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9.9600000000000009</v>
      </c>
      <c r="P780">
        <v>9</v>
      </c>
      <c r="Q780">
        <v>4</v>
      </c>
      <c r="R780">
        <v>2.4300000000000002</v>
      </c>
      <c r="S780">
        <v>1</v>
      </c>
      <c r="T780" t="b">
        <v>0</v>
      </c>
    </row>
    <row r="781" spans="1:20" x14ac:dyDescent="0.25">
      <c r="A781" t="s">
        <v>68</v>
      </c>
      <c r="B781">
        <v>77</v>
      </c>
      <c r="C781">
        <v>415</v>
      </c>
      <c r="D781" t="s">
        <v>29</v>
      </c>
      <c r="E781" t="s">
        <v>29</v>
      </c>
      <c r="F781">
        <v>0</v>
      </c>
      <c r="G781">
        <v>142.30000000000001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 x14ac:dyDescent="0.25">
      <c r="A782" t="s">
        <v>70</v>
      </c>
      <c r="B782">
        <v>64</v>
      </c>
      <c r="C782">
        <v>415</v>
      </c>
      <c r="D782" t="s">
        <v>30</v>
      </c>
      <c r="E782" t="s">
        <v>29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275.39999999999998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 x14ac:dyDescent="0.25">
      <c r="A783" t="s">
        <v>45</v>
      </c>
      <c r="B783">
        <v>159</v>
      </c>
      <c r="C783">
        <v>415</v>
      </c>
      <c r="D783" t="s">
        <v>29</v>
      </c>
      <c r="E783" t="s">
        <v>30</v>
      </c>
      <c r="F783">
        <v>15</v>
      </c>
      <c r="G783">
        <v>113.9</v>
      </c>
      <c r="H783">
        <v>102</v>
      </c>
      <c r="I783">
        <v>19.36</v>
      </c>
      <c r="J783">
        <v>145.30000000000001</v>
      </c>
      <c r="K783">
        <v>146</v>
      </c>
      <c r="L783">
        <v>12.35</v>
      </c>
      <c r="M783">
        <v>195.2</v>
      </c>
      <c r="N783">
        <v>137</v>
      </c>
      <c r="O783">
        <v>8.7799999999999994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 x14ac:dyDescent="0.25">
      <c r="A784" t="s">
        <v>28</v>
      </c>
      <c r="B784">
        <v>110</v>
      </c>
      <c r="C784">
        <v>415</v>
      </c>
      <c r="D784" t="s">
        <v>30</v>
      </c>
      <c r="E784" t="s">
        <v>30</v>
      </c>
      <c r="F784">
        <v>27</v>
      </c>
      <c r="G784">
        <v>267.89999999999998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8.3000000000000007</v>
      </c>
      <c r="Q784">
        <v>2</v>
      </c>
      <c r="R784">
        <v>2.2400000000000002</v>
      </c>
      <c r="S784">
        <v>1</v>
      </c>
      <c r="T784" t="b">
        <v>1</v>
      </c>
    </row>
    <row r="785" spans="1:20" x14ac:dyDescent="0.25">
      <c r="A785" t="s">
        <v>68</v>
      </c>
      <c r="B785">
        <v>138</v>
      </c>
      <c r="C785">
        <v>510</v>
      </c>
      <c r="D785" t="s">
        <v>29</v>
      </c>
      <c r="E785" t="s">
        <v>29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9.7899999999999991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 x14ac:dyDescent="0.25">
      <c r="A786" t="s">
        <v>68</v>
      </c>
      <c r="B786">
        <v>178</v>
      </c>
      <c r="C786">
        <v>408</v>
      </c>
      <c r="D786" t="s">
        <v>29</v>
      </c>
      <c r="E786" t="s">
        <v>29</v>
      </c>
      <c r="F786">
        <v>0</v>
      </c>
      <c r="G786">
        <v>275.39999999999998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 x14ac:dyDescent="0.25">
      <c r="A787" t="s">
        <v>75</v>
      </c>
      <c r="B787">
        <v>38</v>
      </c>
      <c r="C787">
        <v>415</v>
      </c>
      <c r="D787" t="s">
        <v>29</v>
      </c>
      <c r="E787" t="s">
        <v>30</v>
      </c>
      <c r="F787">
        <v>31</v>
      </c>
      <c r="G787">
        <v>197.2</v>
      </c>
      <c r="H787">
        <v>118</v>
      </c>
      <c r="I787">
        <v>33.520000000000003</v>
      </c>
      <c r="J787">
        <v>249.9</v>
      </c>
      <c r="K787">
        <v>70</v>
      </c>
      <c r="L787">
        <v>21.24</v>
      </c>
      <c r="M787">
        <v>298.89999999999998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 x14ac:dyDescent="0.25">
      <c r="A788" t="s">
        <v>74</v>
      </c>
      <c r="B788">
        <v>45</v>
      </c>
      <c r="C788">
        <v>510</v>
      </c>
      <c r="D788" t="s">
        <v>29</v>
      </c>
      <c r="E788" t="s">
        <v>30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 x14ac:dyDescent="0.25">
      <c r="A789" t="s">
        <v>76</v>
      </c>
      <c r="B789">
        <v>70</v>
      </c>
      <c r="C789">
        <v>510</v>
      </c>
      <c r="D789" t="s">
        <v>29</v>
      </c>
      <c r="E789" t="s">
        <v>29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 x14ac:dyDescent="0.25">
      <c r="A790" t="s">
        <v>70</v>
      </c>
      <c r="B790">
        <v>147</v>
      </c>
      <c r="C790">
        <v>510</v>
      </c>
      <c r="D790" t="s">
        <v>29</v>
      </c>
      <c r="E790" t="s">
        <v>30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19.899999999999999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 x14ac:dyDescent="0.25">
      <c r="A791" t="s">
        <v>68</v>
      </c>
      <c r="B791">
        <v>94</v>
      </c>
      <c r="C791">
        <v>510</v>
      </c>
      <c r="D791" t="s">
        <v>29</v>
      </c>
      <c r="E791" t="s">
        <v>29</v>
      </c>
      <c r="F791">
        <v>0</v>
      </c>
      <c r="G791">
        <v>190.6</v>
      </c>
      <c r="H791">
        <v>108</v>
      </c>
      <c r="I791">
        <v>32.4</v>
      </c>
      <c r="J791">
        <v>152.30000000000001</v>
      </c>
      <c r="K791">
        <v>95</v>
      </c>
      <c r="L791">
        <v>12.95</v>
      </c>
      <c r="M791">
        <v>144.69999999999999</v>
      </c>
      <c r="N791">
        <v>97</v>
      </c>
      <c r="O791">
        <v>6.51</v>
      </c>
      <c r="P791">
        <v>7.5</v>
      </c>
      <c r="Q791">
        <v>5</v>
      </c>
      <c r="R791">
        <v>2.0299999999999998</v>
      </c>
      <c r="S791">
        <v>1</v>
      </c>
      <c r="T791" t="b">
        <v>0</v>
      </c>
    </row>
    <row r="792" spans="1:20" x14ac:dyDescent="0.25">
      <c r="A792" t="s">
        <v>50</v>
      </c>
      <c r="B792">
        <v>179</v>
      </c>
      <c r="C792">
        <v>510</v>
      </c>
      <c r="D792" t="s">
        <v>29</v>
      </c>
      <c r="E792" t="s">
        <v>29</v>
      </c>
      <c r="F792">
        <v>0</v>
      </c>
      <c r="G792">
        <v>116.1</v>
      </c>
      <c r="H792">
        <v>101</v>
      </c>
      <c r="I792">
        <v>19.739999999999998</v>
      </c>
      <c r="J792">
        <v>201.8</v>
      </c>
      <c r="K792">
        <v>99</v>
      </c>
      <c r="L792">
        <v>17.149999999999999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 x14ac:dyDescent="0.25">
      <c r="A793" t="s">
        <v>79</v>
      </c>
      <c r="B793">
        <v>59</v>
      </c>
      <c r="C793">
        <v>510</v>
      </c>
      <c r="D793" t="s">
        <v>29</v>
      </c>
      <c r="E793" t="s">
        <v>29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19.760000000000002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 x14ac:dyDescent="0.25">
      <c r="A794" t="s">
        <v>64</v>
      </c>
      <c r="B794">
        <v>165</v>
      </c>
      <c r="C794">
        <v>415</v>
      </c>
      <c r="D794" t="s">
        <v>29</v>
      </c>
      <c r="E794" t="s">
        <v>29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2.4500000000000002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 x14ac:dyDescent="0.25">
      <c r="A795" t="s">
        <v>74</v>
      </c>
      <c r="B795">
        <v>133</v>
      </c>
      <c r="C795">
        <v>408</v>
      </c>
      <c r="D795" t="s">
        <v>29</v>
      </c>
      <c r="E795" t="s">
        <v>29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 x14ac:dyDescent="0.25">
      <c r="A796" t="s">
        <v>76</v>
      </c>
      <c r="B796">
        <v>140</v>
      </c>
      <c r="C796">
        <v>415</v>
      </c>
      <c r="D796" t="s">
        <v>29</v>
      </c>
      <c r="E796" t="s">
        <v>29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260.60000000000002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 x14ac:dyDescent="0.25">
      <c r="A797" t="s">
        <v>42</v>
      </c>
      <c r="B797">
        <v>93</v>
      </c>
      <c r="C797">
        <v>408</v>
      </c>
      <c r="D797" t="s">
        <v>29</v>
      </c>
      <c r="E797" t="s">
        <v>30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 x14ac:dyDescent="0.25">
      <c r="A798" t="s">
        <v>59</v>
      </c>
      <c r="B798">
        <v>64</v>
      </c>
      <c r="C798">
        <v>415</v>
      </c>
      <c r="D798" t="s">
        <v>29</v>
      </c>
      <c r="E798" t="s">
        <v>30</v>
      </c>
      <c r="F798">
        <v>27</v>
      </c>
      <c r="G798">
        <v>201.3</v>
      </c>
      <c r="H798">
        <v>101</v>
      </c>
      <c r="I798">
        <v>34.22</v>
      </c>
      <c r="J798">
        <v>143.80000000000001</v>
      </c>
      <c r="K798">
        <v>89</v>
      </c>
      <c r="L798">
        <v>12.22</v>
      </c>
      <c r="M798">
        <v>150.19999999999999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 x14ac:dyDescent="0.25">
      <c r="A799" t="s">
        <v>58</v>
      </c>
      <c r="B799">
        <v>48</v>
      </c>
      <c r="C799">
        <v>415</v>
      </c>
      <c r="D799" t="s">
        <v>29</v>
      </c>
      <c r="E799" t="s">
        <v>29</v>
      </c>
      <c r="F799">
        <v>0</v>
      </c>
      <c r="G799">
        <v>190.4</v>
      </c>
      <c r="H799">
        <v>92</v>
      </c>
      <c r="I799">
        <v>32.369999999999997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8.3000000000000007</v>
      </c>
      <c r="Q799">
        <v>4</v>
      </c>
      <c r="R799">
        <v>2.2400000000000002</v>
      </c>
      <c r="S799">
        <v>2</v>
      </c>
      <c r="T799" t="b">
        <v>0</v>
      </c>
    </row>
    <row r="800" spans="1:20" x14ac:dyDescent="0.25">
      <c r="A800" t="s">
        <v>70</v>
      </c>
      <c r="B800">
        <v>181</v>
      </c>
      <c r="C800">
        <v>408</v>
      </c>
      <c r="D800" t="s">
        <v>29</v>
      </c>
      <c r="E800" t="s">
        <v>29</v>
      </c>
      <c r="F800">
        <v>0</v>
      </c>
      <c r="G800">
        <v>143.30000000000001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10.050000000000001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 x14ac:dyDescent="0.25">
      <c r="A801" t="s">
        <v>36</v>
      </c>
      <c r="B801">
        <v>168</v>
      </c>
      <c r="C801">
        <v>415</v>
      </c>
      <c r="D801" t="s">
        <v>29</v>
      </c>
      <c r="E801" t="s">
        <v>30</v>
      </c>
      <c r="F801">
        <v>42</v>
      </c>
      <c r="G801">
        <v>97.4</v>
      </c>
      <c r="H801">
        <v>57</v>
      </c>
      <c r="I801">
        <v>16.559999999999999</v>
      </c>
      <c r="J801">
        <v>203.6</v>
      </c>
      <c r="K801">
        <v>98</v>
      </c>
      <c r="L801">
        <v>17.309999999999999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 x14ac:dyDescent="0.25">
      <c r="A802" t="s">
        <v>45</v>
      </c>
      <c r="B802">
        <v>155</v>
      </c>
      <c r="C802">
        <v>415</v>
      </c>
      <c r="D802" t="s">
        <v>29</v>
      </c>
      <c r="E802" t="s">
        <v>29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 x14ac:dyDescent="0.25">
      <c r="A803" t="s">
        <v>70</v>
      </c>
      <c r="B803">
        <v>11</v>
      </c>
      <c r="C803">
        <v>415</v>
      </c>
      <c r="D803" t="s">
        <v>29</v>
      </c>
      <c r="E803" t="s">
        <v>29</v>
      </c>
      <c r="F803">
        <v>0</v>
      </c>
      <c r="G803">
        <v>143.4</v>
      </c>
      <c r="H803">
        <v>130</v>
      </c>
      <c r="I803">
        <v>24.38</v>
      </c>
      <c r="J803">
        <v>289.39999999999998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9.6999999999999993</v>
      </c>
      <c r="Q803">
        <v>6</v>
      </c>
      <c r="R803">
        <v>2.62</v>
      </c>
      <c r="S803">
        <v>2</v>
      </c>
      <c r="T803" t="b">
        <v>0</v>
      </c>
    </row>
    <row r="804" spans="1:20" x14ac:dyDescent="0.25">
      <c r="A804" t="s">
        <v>79</v>
      </c>
      <c r="B804">
        <v>182</v>
      </c>
      <c r="C804">
        <v>415</v>
      </c>
      <c r="D804" t="s">
        <v>29</v>
      </c>
      <c r="E804" t="s">
        <v>29</v>
      </c>
      <c r="F804">
        <v>0</v>
      </c>
      <c r="G804">
        <v>104.9</v>
      </c>
      <c r="H804">
        <v>111</v>
      </c>
      <c r="I804">
        <v>17.829999999999998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 x14ac:dyDescent="0.25">
      <c r="A805" t="s">
        <v>31</v>
      </c>
      <c r="B805">
        <v>102</v>
      </c>
      <c r="C805">
        <v>415</v>
      </c>
      <c r="D805" t="s">
        <v>29</v>
      </c>
      <c r="E805" t="s">
        <v>29</v>
      </c>
      <c r="F805">
        <v>0</v>
      </c>
      <c r="G805">
        <v>114.8</v>
      </c>
      <c r="H805">
        <v>125</v>
      </c>
      <c r="I805">
        <v>19.52</v>
      </c>
      <c r="J805">
        <v>81.900000000000006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 x14ac:dyDescent="0.25">
      <c r="A806" t="s">
        <v>34</v>
      </c>
      <c r="B806">
        <v>122</v>
      </c>
      <c r="C806">
        <v>415</v>
      </c>
      <c r="D806" t="s">
        <v>29</v>
      </c>
      <c r="E806" t="s">
        <v>29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9.6199999999999992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 x14ac:dyDescent="0.25">
      <c r="A807" t="s">
        <v>75</v>
      </c>
      <c r="B807">
        <v>41</v>
      </c>
      <c r="C807">
        <v>415</v>
      </c>
      <c r="D807" t="s">
        <v>29</v>
      </c>
      <c r="E807" t="s">
        <v>29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2.3199999999999998</v>
      </c>
      <c r="S807">
        <v>1</v>
      </c>
      <c r="T807" t="b">
        <v>0</v>
      </c>
    </row>
    <row r="808" spans="1:20" x14ac:dyDescent="0.25">
      <c r="A808" t="s">
        <v>53</v>
      </c>
      <c r="B808">
        <v>132</v>
      </c>
      <c r="C808">
        <v>415</v>
      </c>
      <c r="D808" t="s">
        <v>29</v>
      </c>
      <c r="E808" t="s">
        <v>29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 x14ac:dyDescent="0.25">
      <c r="A809" t="s">
        <v>49</v>
      </c>
      <c r="B809">
        <v>76</v>
      </c>
      <c r="C809">
        <v>415</v>
      </c>
      <c r="D809" t="s">
        <v>29</v>
      </c>
      <c r="E809" t="s">
        <v>29</v>
      </c>
      <c r="F809">
        <v>0</v>
      </c>
      <c r="G809">
        <v>263.39999999999998</v>
      </c>
      <c r="H809">
        <v>148</v>
      </c>
      <c r="I809">
        <v>44.78</v>
      </c>
      <c r="J809">
        <v>230.3</v>
      </c>
      <c r="K809">
        <v>69</v>
      </c>
      <c r="L809">
        <v>19.579999999999998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 x14ac:dyDescent="0.25">
      <c r="A810" t="s">
        <v>78</v>
      </c>
      <c r="B810">
        <v>115</v>
      </c>
      <c r="C810">
        <v>415</v>
      </c>
      <c r="D810" t="s">
        <v>29</v>
      </c>
      <c r="E810" t="s">
        <v>30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 x14ac:dyDescent="0.25">
      <c r="A811" t="s">
        <v>52</v>
      </c>
      <c r="B811">
        <v>154</v>
      </c>
      <c r="C811">
        <v>510</v>
      </c>
      <c r="D811" t="s">
        <v>29</v>
      </c>
      <c r="E811" t="s">
        <v>29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 x14ac:dyDescent="0.25">
      <c r="A812" t="s">
        <v>56</v>
      </c>
      <c r="B812">
        <v>100</v>
      </c>
      <c r="C812">
        <v>510</v>
      </c>
      <c r="D812" t="s">
        <v>29</v>
      </c>
      <c r="E812" t="s">
        <v>29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 x14ac:dyDescent="0.25">
      <c r="A813" t="s">
        <v>54</v>
      </c>
      <c r="B813">
        <v>146</v>
      </c>
      <c r="C813">
        <v>510</v>
      </c>
      <c r="D813" t="s">
        <v>30</v>
      </c>
      <c r="E813" t="s">
        <v>29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 x14ac:dyDescent="0.25">
      <c r="A814" t="s">
        <v>34</v>
      </c>
      <c r="B814">
        <v>67</v>
      </c>
      <c r="C814">
        <v>415</v>
      </c>
      <c r="D814" t="s">
        <v>29</v>
      </c>
      <c r="E814" t="s">
        <v>30</v>
      </c>
      <c r="F814">
        <v>28</v>
      </c>
      <c r="G814">
        <v>95</v>
      </c>
      <c r="H814">
        <v>94</v>
      </c>
      <c r="I814">
        <v>16.149999999999999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 x14ac:dyDescent="0.25">
      <c r="A815" t="s">
        <v>61</v>
      </c>
      <c r="B815">
        <v>161</v>
      </c>
      <c r="C815">
        <v>510</v>
      </c>
      <c r="D815" t="s">
        <v>30</v>
      </c>
      <c r="E815" t="s">
        <v>29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 x14ac:dyDescent="0.25">
      <c r="A816" t="s">
        <v>28</v>
      </c>
      <c r="B816">
        <v>70</v>
      </c>
      <c r="C816">
        <v>415</v>
      </c>
      <c r="D816" t="s">
        <v>29</v>
      </c>
      <c r="E816" t="s">
        <v>29</v>
      </c>
      <c r="F816">
        <v>0</v>
      </c>
      <c r="G816">
        <v>222.8</v>
      </c>
      <c r="H816">
        <v>114</v>
      </c>
      <c r="I816">
        <v>37.880000000000003</v>
      </c>
      <c r="J816">
        <v>215.9</v>
      </c>
      <c r="K816">
        <v>113</v>
      </c>
      <c r="L816">
        <v>18.350000000000001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 x14ac:dyDescent="0.25">
      <c r="A817" t="s">
        <v>43</v>
      </c>
      <c r="B817">
        <v>99</v>
      </c>
      <c r="C817">
        <v>415</v>
      </c>
      <c r="D817" t="s">
        <v>29</v>
      </c>
      <c r="E817" t="s">
        <v>30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9.6999999999999993</v>
      </c>
      <c r="P817">
        <v>9.3000000000000007</v>
      </c>
      <c r="Q817">
        <v>4</v>
      </c>
      <c r="R817">
        <v>2.5099999999999998</v>
      </c>
      <c r="S817">
        <v>2</v>
      </c>
      <c r="T817" t="b">
        <v>1</v>
      </c>
    </row>
    <row r="818" spans="1:20" x14ac:dyDescent="0.25">
      <c r="A818" t="s">
        <v>61</v>
      </c>
      <c r="B818">
        <v>87</v>
      </c>
      <c r="C818">
        <v>415</v>
      </c>
      <c r="D818" t="s">
        <v>29</v>
      </c>
      <c r="E818" t="s">
        <v>29</v>
      </c>
      <c r="F818">
        <v>0</v>
      </c>
      <c r="G818">
        <v>146.30000000000001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 x14ac:dyDescent="0.25">
      <c r="A819" t="s">
        <v>60</v>
      </c>
      <c r="B819">
        <v>87</v>
      </c>
      <c r="C819">
        <v>510</v>
      </c>
      <c r="D819" t="s">
        <v>29</v>
      </c>
      <c r="E819" t="s">
        <v>29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 x14ac:dyDescent="0.25">
      <c r="A820" t="s">
        <v>80</v>
      </c>
      <c r="B820">
        <v>70</v>
      </c>
      <c r="C820">
        <v>408</v>
      </c>
      <c r="D820" t="s">
        <v>29</v>
      </c>
      <c r="E820" t="s">
        <v>29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 x14ac:dyDescent="0.25">
      <c r="A821" t="s">
        <v>36</v>
      </c>
      <c r="B821">
        <v>119</v>
      </c>
      <c r="C821">
        <v>408</v>
      </c>
      <c r="D821" t="s">
        <v>29</v>
      </c>
      <c r="E821" t="s">
        <v>30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 x14ac:dyDescent="0.25">
      <c r="A822" t="s">
        <v>38</v>
      </c>
      <c r="B822">
        <v>87</v>
      </c>
      <c r="C822">
        <v>510</v>
      </c>
      <c r="D822" t="s">
        <v>30</v>
      </c>
      <c r="E822" t="s">
        <v>29</v>
      </c>
      <c r="F822">
        <v>0</v>
      </c>
      <c r="G822">
        <v>134.19999999999999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 x14ac:dyDescent="0.25">
      <c r="A823" t="s">
        <v>62</v>
      </c>
      <c r="B823">
        <v>112</v>
      </c>
      <c r="C823">
        <v>415</v>
      </c>
      <c r="D823" t="s">
        <v>29</v>
      </c>
      <c r="E823" t="s">
        <v>29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146.80000000000001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 x14ac:dyDescent="0.25">
      <c r="A824" t="s">
        <v>38</v>
      </c>
      <c r="B824">
        <v>75</v>
      </c>
      <c r="C824">
        <v>415</v>
      </c>
      <c r="D824" t="s">
        <v>29</v>
      </c>
      <c r="E824" t="s">
        <v>29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261.39999999999998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 x14ac:dyDescent="0.25">
      <c r="A825" t="s">
        <v>80</v>
      </c>
      <c r="B825">
        <v>150</v>
      </c>
      <c r="C825">
        <v>510</v>
      </c>
      <c r="D825" t="s">
        <v>29</v>
      </c>
      <c r="E825" t="s">
        <v>29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9.1999999999999993</v>
      </c>
      <c r="Q825">
        <v>5</v>
      </c>
      <c r="R825">
        <v>2.48</v>
      </c>
      <c r="S825">
        <v>4</v>
      </c>
      <c r="T825" t="b">
        <v>0</v>
      </c>
    </row>
    <row r="826" spans="1:20" x14ac:dyDescent="0.25">
      <c r="A826" t="s">
        <v>60</v>
      </c>
      <c r="B826">
        <v>161</v>
      </c>
      <c r="C826">
        <v>510</v>
      </c>
      <c r="D826" t="s">
        <v>29</v>
      </c>
      <c r="E826" t="s">
        <v>30</v>
      </c>
      <c r="F826">
        <v>38</v>
      </c>
      <c r="G826">
        <v>240.4</v>
      </c>
      <c r="H826">
        <v>112</v>
      </c>
      <c r="I826">
        <v>40.869999999999997</v>
      </c>
      <c r="J826">
        <v>201.8</v>
      </c>
      <c r="K826">
        <v>102</v>
      </c>
      <c r="L826">
        <v>17.149999999999999</v>
      </c>
      <c r="M826">
        <v>206.1</v>
      </c>
      <c r="N826">
        <v>112</v>
      </c>
      <c r="O826">
        <v>9.27</v>
      </c>
      <c r="P826">
        <v>16.100000000000001</v>
      </c>
      <c r="Q826">
        <v>6</v>
      </c>
      <c r="R826">
        <v>4.3499999999999996</v>
      </c>
      <c r="S826">
        <v>0</v>
      </c>
      <c r="T826" t="b">
        <v>0</v>
      </c>
    </row>
    <row r="827" spans="1:20" x14ac:dyDescent="0.25">
      <c r="A827" t="s">
        <v>45</v>
      </c>
      <c r="B827">
        <v>91</v>
      </c>
      <c r="C827">
        <v>510</v>
      </c>
      <c r="D827" t="s">
        <v>30</v>
      </c>
      <c r="E827" t="s">
        <v>30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 x14ac:dyDescent="0.25">
      <c r="A828" t="s">
        <v>28</v>
      </c>
      <c r="B828">
        <v>124</v>
      </c>
      <c r="C828">
        <v>415</v>
      </c>
      <c r="D828" t="s">
        <v>29</v>
      </c>
      <c r="E828" t="s">
        <v>29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10.199999999999999</v>
      </c>
      <c r="Q828">
        <v>8</v>
      </c>
      <c r="R828">
        <v>2.75</v>
      </c>
      <c r="S828">
        <v>3</v>
      </c>
      <c r="T828" t="b">
        <v>0</v>
      </c>
    </row>
    <row r="829" spans="1:20" x14ac:dyDescent="0.25">
      <c r="A829" t="s">
        <v>38</v>
      </c>
      <c r="B829">
        <v>158</v>
      </c>
      <c r="C829">
        <v>510</v>
      </c>
      <c r="D829" t="s">
        <v>29</v>
      </c>
      <c r="E829" t="s">
        <v>29</v>
      </c>
      <c r="F829">
        <v>0</v>
      </c>
      <c r="G829">
        <v>220.9</v>
      </c>
      <c r="H829">
        <v>129</v>
      </c>
      <c r="I829">
        <v>37.549999999999997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 x14ac:dyDescent="0.25">
      <c r="A830" t="s">
        <v>68</v>
      </c>
      <c r="B830">
        <v>102</v>
      </c>
      <c r="C830">
        <v>415</v>
      </c>
      <c r="D830" t="s">
        <v>29</v>
      </c>
      <c r="E830" t="s">
        <v>29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9.7899999999999991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 x14ac:dyDescent="0.25">
      <c r="A831" t="s">
        <v>61</v>
      </c>
      <c r="B831">
        <v>85</v>
      </c>
      <c r="C831">
        <v>510</v>
      </c>
      <c r="D831" t="s">
        <v>29</v>
      </c>
      <c r="E831" t="s">
        <v>29</v>
      </c>
      <c r="F831">
        <v>0</v>
      </c>
      <c r="G831">
        <v>212.3</v>
      </c>
      <c r="H831">
        <v>107</v>
      </c>
      <c r="I831">
        <v>36.090000000000003</v>
      </c>
      <c r="J831">
        <v>228.4</v>
      </c>
      <c r="K831">
        <v>103</v>
      </c>
      <c r="L831">
        <v>19.41</v>
      </c>
      <c r="M831">
        <v>163.30000000000001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 x14ac:dyDescent="0.25">
      <c r="A832" t="s">
        <v>33</v>
      </c>
      <c r="B832">
        <v>79</v>
      </c>
      <c r="C832">
        <v>510</v>
      </c>
      <c r="D832" t="s">
        <v>29</v>
      </c>
      <c r="E832" t="s">
        <v>29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 x14ac:dyDescent="0.25">
      <c r="A833" t="s">
        <v>66</v>
      </c>
      <c r="B833">
        <v>139</v>
      </c>
      <c r="C833">
        <v>510</v>
      </c>
      <c r="D833" t="s">
        <v>29</v>
      </c>
      <c r="E833" t="s">
        <v>30</v>
      </c>
      <c r="F833">
        <v>25</v>
      </c>
      <c r="G833">
        <v>96.2</v>
      </c>
      <c r="H833">
        <v>112</v>
      </c>
      <c r="I833">
        <v>16.350000000000001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 x14ac:dyDescent="0.25">
      <c r="A834" t="s">
        <v>64</v>
      </c>
      <c r="B834">
        <v>103</v>
      </c>
      <c r="C834">
        <v>415</v>
      </c>
      <c r="D834" t="s">
        <v>29</v>
      </c>
      <c r="E834" t="s">
        <v>29</v>
      </c>
      <c r="F834">
        <v>0</v>
      </c>
      <c r="G834">
        <v>263.39999999999998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 x14ac:dyDescent="0.25">
      <c r="A835" t="s">
        <v>58</v>
      </c>
      <c r="B835">
        <v>98</v>
      </c>
      <c r="C835">
        <v>415</v>
      </c>
      <c r="D835" t="s">
        <v>30</v>
      </c>
      <c r="E835" t="s">
        <v>29</v>
      </c>
      <c r="F835">
        <v>0</v>
      </c>
      <c r="G835">
        <v>12.5</v>
      </c>
      <c r="H835">
        <v>67</v>
      </c>
      <c r="I835">
        <v>2.13</v>
      </c>
      <c r="J835">
        <v>256.60000000000002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 x14ac:dyDescent="0.25">
      <c r="A836" t="s">
        <v>51</v>
      </c>
      <c r="B836">
        <v>78</v>
      </c>
      <c r="C836">
        <v>408</v>
      </c>
      <c r="D836" t="s">
        <v>29</v>
      </c>
      <c r="E836" t="s">
        <v>29</v>
      </c>
      <c r="F836">
        <v>0</v>
      </c>
      <c r="G836">
        <v>162.30000000000001</v>
      </c>
      <c r="H836">
        <v>116</v>
      </c>
      <c r="I836">
        <v>27.59</v>
      </c>
      <c r="J836">
        <v>192.4</v>
      </c>
      <c r="K836">
        <v>86</v>
      </c>
      <c r="L836">
        <v>16.350000000000001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 x14ac:dyDescent="0.25">
      <c r="A837" t="s">
        <v>54</v>
      </c>
      <c r="B837">
        <v>50</v>
      </c>
      <c r="C837">
        <v>408</v>
      </c>
      <c r="D837" t="s">
        <v>29</v>
      </c>
      <c r="E837" t="s">
        <v>29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4.9800000000000004</v>
      </c>
      <c r="M837">
        <v>202.6</v>
      </c>
      <c r="N837">
        <v>99</v>
      </c>
      <c r="O837">
        <v>9.1199999999999992</v>
      </c>
      <c r="P837">
        <v>8.6999999999999993</v>
      </c>
      <c r="Q837">
        <v>3</v>
      </c>
      <c r="R837">
        <v>2.35</v>
      </c>
      <c r="S837">
        <v>1</v>
      </c>
      <c r="T837" t="b">
        <v>0</v>
      </c>
    </row>
    <row r="838" spans="1:20" x14ac:dyDescent="0.25">
      <c r="A838" t="s">
        <v>37</v>
      </c>
      <c r="B838">
        <v>86</v>
      </c>
      <c r="C838">
        <v>415</v>
      </c>
      <c r="D838" t="s">
        <v>29</v>
      </c>
      <c r="E838" t="s">
        <v>30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138.19999999999999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 x14ac:dyDescent="0.25">
      <c r="A839" t="s">
        <v>53</v>
      </c>
      <c r="B839">
        <v>92</v>
      </c>
      <c r="C839">
        <v>510</v>
      </c>
      <c r="D839" t="s">
        <v>29</v>
      </c>
      <c r="E839" t="s">
        <v>29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76.400000000000006</v>
      </c>
      <c r="N839">
        <v>97</v>
      </c>
      <c r="O839">
        <v>3.44</v>
      </c>
      <c r="P839">
        <v>8.6</v>
      </c>
      <c r="Q839">
        <v>6</v>
      </c>
      <c r="R839">
        <v>2.3199999999999998</v>
      </c>
      <c r="S839">
        <v>0</v>
      </c>
      <c r="T839" t="b">
        <v>0</v>
      </c>
    </row>
    <row r="840" spans="1:20" x14ac:dyDescent="0.25">
      <c r="A840" t="s">
        <v>67</v>
      </c>
      <c r="B840">
        <v>174</v>
      </c>
      <c r="C840">
        <v>415</v>
      </c>
      <c r="D840" t="s">
        <v>29</v>
      </c>
      <c r="E840" t="s">
        <v>29</v>
      </c>
      <c r="F840">
        <v>0</v>
      </c>
      <c r="G840">
        <v>239.2</v>
      </c>
      <c r="H840">
        <v>72</v>
      </c>
      <c r="I840">
        <v>40.659999999999997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8.8000000000000007</v>
      </c>
      <c r="Q840">
        <v>3</v>
      </c>
      <c r="R840">
        <v>2.38</v>
      </c>
      <c r="S840">
        <v>1</v>
      </c>
      <c r="T840" t="b">
        <v>0</v>
      </c>
    </row>
    <row r="841" spans="1:20" x14ac:dyDescent="0.25">
      <c r="A841" t="s">
        <v>31</v>
      </c>
      <c r="B841">
        <v>124</v>
      </c>
      <c r="C841">
        <v>510</v>
      </c>
      <c r="D841" t="s">
        <v>29</v>
      </c>
      <c r="E841" t="s">
        <v>29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 x14ac:dyDescent="0.25">
      <c r="A842" t="s">
        <v>38</v>
      </c>
      <c r="B842">
        <v>190</v>
      </c>
      <c r="C842">
        <v>415</v>
      </c>
      <c r="D842" t="s">
        <v>29</v>
      </c>
      <c r="E842" t="s">
        <v>30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 x14ac:dyDescent="0.25">
      <c r="A843" t="s">
        <v>78</v>
      </c>
      <c r="B843">
        <v>101</v>
      </c>
      <c r="C843">
        <v>510</v>
      </c>
      <c r="D843" t="s">
        <v>29</v>
      </c>
      <c r="E843" t="s">
        <v>29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 x14ac:dyDescent="0.25">
      <c r="A844" t="s">
        <v>49</v>
      </c>
      <c r="B844">
        <v>185</v>
      </c>
      <c r="C844">
        <v>415</v>
      </c>
      <c r="D844" t="s">
        <v>30</v>
      </c>
      <c r="E844" t="s">
        <v>30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258.39999999999998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 x14ac:dyDescent="0.25">
      <c r="A845" t="s">
        <v>70</v>
      </c>
      <c r="B845">
        <v>68</v>
      </c>
      <c r="C845">
        <v>415</v>
      </c>
      <c r="D845" t="s">
        <v>29</v>
      </c>
      <c r="E845" t="s">
        <v>30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 x14ac:dyDescent="0.25">
      <c r="A846" t="s">
        <v>28</v>
      </c>
      <c r="B846">
        <v>117</v>
      </c>
      <c r="C846">
        <v>510</v>
      </c>
      <c r="D846" t="s">
        <v>29</v>
      </c>
      <c r="E846" t="s">
        <v>30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267.89999999999998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 x14ac:dyDescent="0.25">
      <c r="A847" t="s">
        <v>52</v>
      </c>
      <c r="B847">
        <v>118</v>
      </c>
      <c r="C847">
        <v>408</v>
      </c>
      <c r="D847" t="s">
        <v>29</v>
      </c>
      <c r="E847" t="s">
        <v>29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 x14ac:dyDescent="0.25">
      <c r="A848" t="s">
        <v>77</v>
      </c>
      <c r="B848">
        <v>124</v>
      </c>
      <c r="C848">
        <v>415</v>
      </c>
      <c r="D848" t="s">
        <v>29</v>
      </c>
      <c r="E848" t="s">
        <v>29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 x14ac:dyDescent="0.25">
      <c r="A849" t="s">
        <v>68</v>
      </c>
      <c r="B849">
        <v>22</v>
      </c>
      <c r="C849">
        <v>510</v>
      </c>
      <c r="D849" t="s">
        <v>29</v>
      </c>
      <c r="E849" t="s">
        <v>29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 x14ac:dyDescent="0.25">
      <c r="A850" t="s">
        <v>66</v>
      </c>
      <c r="B850">
        <v>75</v>
      </c>
      <c r="C850">
        <v>415</v>
      </c>
      <c r="D850" t="s">
        <v>29</v>
      </c>
      <c r="E850" t="s">
        <v>29</v>
      </c>
      <c r="F850">
        <v>0</v>
      </c>
      <c r="G850">
        <v>143.19999999999999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 x14ac:dyDescent="0.25">
      <c r="A851" t="s">
        <v>36</v>
      </c>
      <c r="B851">
        <v>164</v>
      </c>
      <c r="C851">
        <v>408</v>
      </c>
      <c r="D851" t="s">
        <v>29</v>
      </c>
      <c r="E851" t="s">
        <v>30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 x14ac:dyDescent="0.25">
      <c r="A852" t="s">
        <v>72</v>
      </c>
      <c r="B852">
        <v>177</v>
      </c>
      <c r="C852">
        <v>415</v>
      </c>
      <c r="D852" t="s">
        <v>29</v>
      </c>
      <c r="E852" t="s">
        <v>29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9.5500000000000007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 x14ac:dyDescent="0.25">
      <c r="A853" t="s">
        <v>51</v>
      </c>
      <c r="B853">
        <v>110</v>
      </c>
      <c r="C853">
        <v>408</v>
      </c>
      <c r="D853" t="s">
        <v>29</v>
      </c>
      <c r="E853" t="s">
        <v>29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 x14ac:dyDescent="0.25">
      <c r="A854" t="s">
        <v>66</v>
      </c>
      <c r="B854">
        <v>158</v>
      </c>
      <c r="C854">
        <v>408</v>
      </c>
      <c r="D854" t="s">
        <v>29</v>
      </c>
      <c r="E854" t="s">
        <v>29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18.809999999999999</v>
      </c>
      <c r="M854">
        <v>210</v>
      </c>
      <c r="N854">
        <v>93</v>
      </c>
      <c r="O854">
        <v>9.4499999999999993</v>
      </c>
      <c r="P854">
        <v>8.1999999999999993</v>
      </c>
      <c r="Q854">
        <v>3</v>
      </c>
      <c r="R854">
        <v>2.21</v>
      </c>
      <c r="S854">
        <v>1</v>
      </c>
      <c r="T854" t="b">
        <v>0</v>
      </c>
    </row>
    <row r="855" spans="1:20" x14ac:dyDescent="0.25">
      <c r="A855" t="s">
        <v>31</v>
      </c>
      <c r="B855">
        <v>114</v>
      </c>
      <c r="C855">
        <v>415</v>
      </c>
      <c r="D855" t="s">
        <v>29</v>
      </c>
      <c r="E855" t="s">
        <v>29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 x14ac:dyDescent="0.25">
      <c r="A856" t="s">
        <v>64</v>
      </c>
      <c r="B856">
        <v>64</v>
      </c>
      <c r="C856">
        <v>408</v>
      </c>
      <c r="D856" t="s">
        <v>29</v>
      </c>
      <c r="E856" t="s">
        <v>30</v>
      </c>
      <c r="F856">
        <v>19</v>
      </c>
      <c r="G856">
        <v>291.10000000000002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2.0299999999999998</v>
      </c>
      <c r="S856">
        <v>1</v>
      </c>
      <c r="T856" t="b">
        <v>0</v>
      </c>
    </row>
    <row r="857" spans="1:20" x14ac:dyDescent="0.25">
      <c r="A857" t="s">
        <v>71</v>
      </c>
      <c r="B857">
        <v>111</v>
      </c>
      <c r="C857">
        <v>415</v>
      </c>
      <c r="D857" t="s">
        <v>29</v>
      </c>
      <c r="E857" t="s">
        <v>29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17.350000000000001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 x14ac:dyDescent="0.25">
      <c r="A858" t="s">
        <v>40</v>
      </c>
      <c r="B858">
        <v>60</v>
      </c>
      <c r="C858">
        <v>408</v>
      </c>
      <c r="D858" t="s">
        <v>29</v>
      </c>
      <c r="E858" t="s">
        <v>29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 x14ac:dyDescent="0.25">
      <c r="A859" t="s">
        <v>32</v>
      </c>
      <c r="B859">
        <v>113</v>
      </c>
      <c r="C859">
        <v>408</v>
      </c>
      <c r="D859" t="s">
        <v>29</v>
      </c>
      <c r="E859" t="s">
        <v>29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 x14ac:dyDescent="0.25">
      <c r="A860" t="s">
        <v>45</v>
      </c>
      <c r="B860">
        <v>109</v>
      </c>
      <c r="C860">
        <v>408</v>
      </c>
      <c r="D860" t="s">
        <v>29</v>
      </c>
      <c r="E860" t="s">
        <v>29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17.600000000000001</v>
      </c>
      <c r="M860">
        <v>268</v>
      </c>
      <c r="N860">
        <v>106</v>
      </c>
      <c r="O860">
        <v>12.06</v>
      </c>
      <c r="P860">
        <v>8.1999999999999993</v>
      </c>
      <c r="Q860">
        <v>4</v>
      </c>
      <c r="R860">
        <v>2.21</v>
      </c>
      <c r="S860">
        <v>1</v>
      </c>
      <c r="T860" t="b">
        <v>0</v>
      </c>
    </row>
    <row r="861" spans="1:20" x14ac:dyDescent="0.25">
      <c r="A861" t="s">
        <v>60</v>
      </c>
      <c r="B861">
        <v>105</v>
      </c>
      <c r="C861">
        <v>510</v>
      </c>
      <c r="D861" t="s">
        <v>29</v>
      </c>
      <c r="E861" t="s">
        <v>30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 x14ac:dyDescent="0.25">
      <c r="A862" t="s">
        <v>59</v>
      </c>
      <c r="B862">
        <v>85</v>
      </c>
      <c r="C862">
        <v>510</v>
      </c>
      <c r="D862" t="s">
        <v>29</v>
      </c>
      <c r="E862" t="s">
        <v>29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 x14ac:dyDescent="0.25">
      <c r="A863" t="s">
        <v>34</v>
      </c>
      <c r="B863">
        <v>131</v>
      </c>
      <c r="C863">
        <v>510</v>
      </c>
      <c r="D863" t="s">
        <v>29</v>
      </c>
      <c r="E863" t="s">
        <v>29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 x14ac:dyDescent="0.25">
      <c r="A864" t="s">
        <v>72</v>
      </c>
      <c r="B864">
        <v>59</v>
      </c>
      <c r="C864">
        <v>510</v>
      </c>
      <c r="D864" t="s">
        <v>29</v>
      </c>
      <c r="E864" t="s">
        <v>29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 x14ac:dyDescent="0.25">
      <c r="A865" t="s">
        <v>63</v>
      </c>
      <c r="B865">
        <v>148</v>
      </c>
      <c r="C865">
        <v>408</v>
      </c>
      <c r="D865" t="s">
        <v>29</v>
      </c>
      <c r="E865" t="s">
        <v>29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 x14ac:dyDescent="0.25">
      <c r="A866" t="s">
        <v>43</v>
      </c>
      <c r="B866">
        <v>210</v>
      </c>
      <c r="C866">
        <v>408</v>
      </c>
      <c r="D866" t="s">
        <v>29</v>
      </c>
      <c r="E866" t="s">
        <v>29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 x14ac:dyDescent="0.25">
      <c r="A867" t="s">
        <v>41</v>
      </c>
      <c r="B867">
        <v>106</v>
      </c>
      <c r="C867">
        <v>510</v>
      </c>
      <c r="D867" t="s">
        <v>29</v>
      </c>
      <c r="E867" t="s">
        <v>29</v>
      </c>
      <c r="F867">
        <v>0</v>
      </c>
      <c r="G867">
        <v>274.39999999999998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160.80000000000001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 x14ac:dyDescent="0.25">
      <c r="A868" t="s">
        <v>71</v>
      </c>
      <c r="B868">
        <v>57</v>
      </c>
      <c r="C868">
        <v>415</v>
      </c>
      <c r="D868" t="s">
        <v>29</v>
      </c>
      <c r="E868" t="s">
        <v>30</v>
      </c>
      <c r="F868">
        <v>29</v>
      </c>
      <c r="G868">
        <v>279.89999999999998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 x14ac:dyDescent="0.25">
      <c r="A869" t="s">
        <v>79</v>
      </c>
      <c r="B869">
        <v>98</v>
      </c>
      <c r="C869">
        <v>510</v>
      </c>
      <c r="D869" t="s">
        <v>29</v>
      </c>
      <c r="E869" t="s">
        <v>29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5.0999999999999996</v>
      </c>
      <c r="Q869">
        <v>4</v>
      </c>
      <c r="R869">
        <v>1.38</v>
      </c>
      <c r="S869">
        <v>1</v>
      </c>
      <c r="T869" t="b">
        <v>0</v>
      </c>
    </row>
    <row r="870" spans="1:20" x14ac:dyDescent="0.25">
      <c r="A870" t="s">
        <v>78</v>
      </c>
      <c r="B870">
        <v>157</v>
      </c>
      <c r="C870">
        <v>415</v>
      </c>
      <c r="D870" t="s">
        <v>29</v>
      </c>
      <c r="E870" t="s">
        <v>29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2.2000000000000002</v>
      </c>
      <c r="Q870">
        <v>4</v>
      </c>
      <c r="R870">
        <v>0.59</v>
      </c>
      <c r="S870">
        <v>3</v>
      </c>
      <c r="T870" t="b">
        <v>0</v>
      </c>
    </row>
    <row r="871" spans="1:20" x14ac:dyDescent="0.25">
      <c r="A871" t="s">
        <v>57</v>
      </c>
      <c r="B871">
        <v>116</v>
      </c>
      <c r="C871">
        <v>415</v>
      </c>
      <c r="D871" t="s">
        <v>29</v>
      </c>
      <c r="E871" t="s">
        <v>30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8.3000000000000007</v>
      </c>
      <c r="Q871">
        <v>4</v>
      </c>
      <c r="R871">
        <v>2.2400000000000002</v>
      </c>
      <c r="S871">
        <v>1</v>
      </c>
      <c r="T871" t="b">
        <v>0</v>
      </c>
    </row>
    <row r="872" spans="1:20" x14ac:dyDescent="0.25">
      <c r="A872" t="s">
        <v>37</v>
      </c>
      <c r="B872">
        <v>30</v>
      </c>
      <c r="C872">
        <v>510</v>
      </c>
      <c r="D872" t="s">
        <v>29</v>
      </c>
      <c r="E872" t="s">
        <v>29</v>
      </c>
      <c r="F872">
        <v>0</v>
      </c>
      <c r="G872">
        <v>162.30000000000001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 x14ac:dyDescent="0.25">
      <c r="A873" t="s">
        <v>32</v>
      </c>
      <c r="B873">
        <v>111</v>
      </c>
      <c r="C873">
        <v>510</v>
      </c>
      <c r="D873" t="s">
        <v>29</v>
      </c>
      <c r="E873" t="s">
        <v>29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9.6199999999999992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 x14ac:dyDescent="0.25">
      <c r="A874" t="s">
        <v>28</v>
      </c>
      <c r="B874">
        <v>52</v>
      </c>
      <c r="C874">
        <v>415</v>
      </c>
      <c r="D874" t="s">
        <v>29</v>
      </c>
      <c r="E874" t="s">
        <v>29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 x14ac:dyDescent="0.25">
      <c r="A875" t="s">
        <v>32</v>
      </c>
      <c r="B875">
        <v>135</v>
      </c>
      <c r="C875">
        <v>510</v>
      </c>
      <c r="D875" t="s">
        <v>29</v>
      </c>
      <c r="E875" t="s">
        <v>30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154.80000000000001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 x14ac:dyDescent="0.25">
      <c r="A876" t="s">
        <v>64</v>
      </c>
      <c r="B876">
        <v>86</v>
      </c>
      <c r="C876">
        <v>510</v>
      </c>
      <c r="D876" t="s">
        <v>29</v>
      </c>
      <c r="E876" t="s">
        <v>29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 x14ac:dyDescent="0.25">
      <c r="A877" t="s">
        <v>49</v>
      </c>
      <c r="B877">
        <v>151</v>
      </c>
      <c r="C877">
        <v>510</v>
      </c>
      <c r="D877" t="s">
        <v>29</v>
      </c>
      <c r="E877" t="s">
        <v>29</v>
      </c>
      <c r="F877">
        <v>0</v>
      </c>
      <c r="G877">
        <v>235.9</v>
      </c>
      <c r="H877">
        <v>104</v>
      </c>
      <c r="I877">
        <v>40.1</v>
      </c>
      <c r="J877">
        <v>80.599999999999994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 x14ac:dyDescent="0.25">
      <c r="A878" t="s">
        <v>70</v>
      </c>
      <c r="B878">
        <v>117</v>
      </c>
      <c r="C878">
        <v>415</v>
      </c>
      <c r="D878" t="s">
        <v>29</v>
      </c>
      <c r="E878" t="s">
        <v>29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 x14ac:dyDescent="0.25">
      <c r="A879" t="s">
        <v>41</v>
      </c>
      <c r="B879">
        <v>82</v>
      </c>
      <c r="C879">
        <v>408</v>
      </c>
      <c r="D879" t="s">
        <v>29</v>
      </c>
      <c r="E879" t="s">
        <v>29</v>
      </c>
      <c r="F879">
        <v>0</v>
      </c>
      <c r="G879">
        <v>101</v>
      </c>
      <c r="H879">
        <v>93</v>
      </c>
      <c r="I879">
        <v>17.170000000000002</v>
      </c>
      <c r="J879">
        <v>155.6</v>
      </c>
      <c r="K879">
        <v>104</v>
      </c>
      <c r="L879">
        <v>13.23</v>
      </c>
      <c r="M879">
        <v>304.39999999999998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 x14ac:dyDescent="0.25">
      <c r="A880" t="s">
        <v>39</v>
      </c>
      <c r="B880">
        <v>152</v>
      </c>
      <c r="C880">
        <v>415</v>
      </c>
      <c r="D880" t="s">
        <v>29</v>
      </c>
      <c r="E880" t="s">
        <v>29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 x14ac:dyDescent="0.25">
      <c r="A881" t="s">
        <v>76</v>
      </c>
      <c r="B881">
        <v>108</v>
      </c>
      <c r="C881">
        <v>408</v>
      </c>
      <c r="D881" t="s">
        <v>29</v>
      </c>
      <c r="E881" t="s">
        <v>30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 x14ac:dyDescent="0.25">
      <c r="A882" t="s">
        <v>31</v>
      </c>
      <c r="B882">
        <v>98</v>
      </c>
      <c r="C882">
        <v>408</v>
      </c>
      <c r="D882" t="s">
        <v>29</v>
      </c>
      <c r="E882" t="s">
        <v>29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 x14ac:dyDescent="0.25">
      <c r="A883" t="s">
        <v>35</v>
      </c>
      <c r="B883">
        <v>47</v>
      </c>
      <c r="C883">
        <v>415</v>
      </c>
      <c r="D883" t="s">
        <v>29</v>
      </c>
      <c r="E883" t="s">
        <v>29</v>
      </c>
      <c r="F883">
        <v>0</v>
      </c>
      <c r="G883">
        <v>155.30000000000001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 x14ac:dyDescent="0.25">
      <c r="A884" t="s">
        <v>33</v>
      </c>
      <c r="B884">
        <v>189</v>
      </c>
      <c r="C884">
        <v>415</v>
      </c>
      <c r="D884" t="s">
        <v>29</v>
      </c>
      <c r="E884" t="s">
        <v>29</v>
      </c>
      <c r="F884">
        <v>0</v>
      </c>
      <c r="G884">
        <v>208.3</v>
      </c>
      <c r="H884">
        <v>106</v>
      </c>
      <c r="I884">
        <v>35.409999999999997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 x14ac:dyDescent="0.25">
      <c r="A885" t="s">
        <v>48</v>
      </c>
      <c r="B885">
        <v>159</v>
      </c>
      <c r="C885">
        <v>415</v>
      </c>
      <c r="D885" t="s">
        <v>29</v>
      </c>
      <c r="E885" t="s">
        <v>29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 x14ac:dyDescent="0.25">
      <c r="A886" t="s">
        <v>43</v>
      </c>
      <c r="B886">
        <v>11</v>
      </c>
      <c r="C886">
        <v>408</v>
      </c>
      <c r="D886" t="s">
        <v>29</v>
      </c>
      <c r="E886" t="s">
        <v>30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 x14ac:dyDescent="0.25">
      <c r="A887" t="s">
        <v>40</v>
      </c>
      <c r="B887">
        <v>111</v>
      </c>
      <c r="C887">
        <v>408</v>
      </c>
      <c r="D887" t="s">
        <v>29</v>
      </c>
      <c r="E887" t="s">
        <v>29</v>
      </c>
      <c r="F887">
        <v>0</v>
      </c>
      <c r="G887">
        <v>142.30000000000001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 x14ac:dyDescent="0.25">
      <c r="A888" t="s">
        <v>42</v>
      </c>
      <c r="B888">
        <v>99</v>
      </c>
      <c r="C888">
        <v>408</v>
      </c>
      <c r="D888" t="s">
        <v>29</v>
      </c>
      <c r="E888" t="s">
        <v>30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8.1999999999999993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 x14ac:dyDescent="0.25">
      <c r="A889" t="s">
        <v>43</v>
      </c>
      <c r="B889">
        <v>114</v>
      </c>
      <c r="C889">
        <v>415</v>
      </c>
      <c r="D889" t="s">
        <v>30</v>
      </c>
      <c r="E889" t="s">
        <v>30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19.059999999999999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 x14ac:dyDescent="0.25">
      <c r="A890" t="s">
        <v>34</v>
      </c>
      <c r="B890">
        <v>71</v>
      </c>
      <c r="C890">
        <v>415</v>
      </c>
      <c r="D890" t="s">
        <v>29</v>
      </c>
      <c r="E890" t="s">
        <v>29</v>
      </c>
      <c r="F890">
        <v>0</v>
      </c>
      <c r="G890">
        <v>103.3</v>
      </c>
      <c r="H890">
        <v>103</v>
      </c>
      <c r="I890">
        <v>17.559999999999999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2.4300000000000002</v>
      </c>
      <c r="S890">
        <v>2</v>
      </c>
      <c r="T890" t="b">
        <v>0</v>
      </c>
    </row>
    <row r="891" spans="1:20" x14ac:dyDescent="0.25">
      <c r="A891" t="s">
        <v>34</v>
      </c>
      <c r="B891">
        <v>100</v>
      </c>
      <c r="C891">
        <v>408</v>
      </c>
      <c r="D891" t="s">
        <v>29</v>
      </c>
      <c r="E891" t="s">
        <v>30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8.5399999999999991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 x14ac:dyDescent="0.25">
      <c r="A892" t="s">
        <v>37</v>
      </c>
      <c r="B892">
        <v>83</v>
      </c>
      <c r="C892">
        <v>415</v>
      </c>
      <c r="D892" t="s">
        <v>29</v>
      </c>
      <c r="E892" t="s">
        <v>30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 x14ac:dyDescent="0.25">
      <c r="A893" t="s">
        <v>68</v>
      </c>
      <c r="B893">
        <v>64</v>
      </c>
      <c r="C893">
        <v>408</v>
      </c>
      <c r="D893" t="s">
        <v>29</v>
      </c>
      <c r="E893" t="s">
        <v>29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9.7200000000000006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 x14ac:dyDescent="0.25">
      <c r="A894" t="s">
        <v>76</v>
      </c>
      <c r="B894">
        <v>105</v>
      </c>
      <c r="C894">
        <v>408</v>
      </c>
      <c r="D894" t="s">
        <v>29</v>
      </c>
      <c r="E894" t="s">
        <v>29</v>
      </c>
      <c r="F894">
        <v>0</v>
      </c>
      <c r="G894">
        <v>206.2</v>
      </c>
      <c r="H894">
        <v>84</v>
      </c>
      <c r="I894">
        <v>35.049999999999997</v>
      </c>
      <c r="J894">
        <v>256.39999999999998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2.4300000000000002</v>
      </c>
      <c r="S894">
        <v>1</v>
      </c>
      <c r="T894" t="b">
        <v>0</v>
      </c>
    </row>
    <row r="895" spans="1:20" x14ac:dyDescent="0.25">
      <c r="A895" t="s">
        <v>41</v>
      </c>
      <c r="B895">
        <v>144</v>
      </c>
      <c r="C895">
        <v>415</v>
      </c>
      <c r="D895" t="s">
        <v>29</v>
      </c>
      <c r="E895" t="s">
        <v>30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 x14ac:dyDescent="0.25">
      <c r="A896" t="s">
        <v>49</v>
      </c>
      <c r="B896">
        <v>106</v>
      </c>
      <c r="C896">
        <v>415</v>
      </c>
      <c r="D896" t="s">
        <v>30</v>
      </c>
      <c r="E896" t="s">
        <v>30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 x14ac:dyDescent="0.25">
      <c r="A897" t="s">
        <v>44</v>
      </c>
      <c r="B897">
        <v>19</v>
      </c>
      <c r="C897">
        <v>510</v>
      </c>
      <c r="D897" t="s">
        <v>29</v>
      </c>
      <c r="E897" t="s">
        <v>30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19.059999999999999</v>
      </c>
      <c r="M897">
        <v>260.89999999999998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 x14ac:dyDescent="0.25">
      <c r="A898" t="s">
        <v>35</v>
      </c>
      <c r="B898">
        <v>46</v>
      </c>
      <c r="C898">
        <v>408</v>
      </c>
      <c r="D898" t="s">
        <v>29</v>
      </c>
      <c r="E898" t="s">
        <v>29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19.010000000000002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 x14ac:dyDescent="0.25">
      <c r="A899" t="s">
        <v>50</v>
      </c>
      <c r="B899">
        <v>127</v>
      </c>
      <c r="C899">
        <v>510</v>
      </c>
      <c r="D899" t="s">
        <v>29</v>
      </c>
      <c r="E899" t="s">
        <v>29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16.010000000000002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 x14ac:dyDescent="0.25">
      <c r="A900" t="s">
        <v>52</v>
      </c>
      <c r="B900">
        <v>9</v>
      </c>
      <c r="C900">
        <v>415</v>
      </c>
      <c r="D900" t="s">
        <v>29</v>
      </c>
      <c r="E900" t="s">
        <v>30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8.5399999999999991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 x14ac:dyDescent="0.25">
      <c r="A901" t="s">
        <v>46</v>
      </c>
      <c r="B901">
        <v>157</v>
      </c>
      <c r="C901">
        <v>415</v>
      </c>
      <c r="D901" t="s">
        <v>29</v>
      </c>
      <c r="E901" t="s">
        <v>29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 x14ac:dyDescent="0.25">
      <c r="A902" t="s">
        <v>61</v>
      </c>
      <c r="B902">
        <v>105</v>
      </c>
      <c r="C902">
        <v>415</v>
      </c>
      <c r="D902" t="s">
        <v>29</v>
      </c>
      <c r="E902" t="s">
        <v>29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147.69999999999999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 x14ac:dyDescent="0.25">
      <c r="A903" t="s">
        <v>41</v>
      </c>
      <c r="B903">
        <v>31</v>
      </c>
      <c r="C903">
        <v>415</v>
      </c>
      <c r="D903" t="s">
        <v>29</v>
      </c>
      <c r="E903" t="s">
        <v>29</v>
      </c>
      <c r="F903">
        <v>0</v>
      </c>
      <c r="G903">
        <v>177.3</v>
      </c>
      <c r="H903">
        <v>129</v>
      </c>
      <c r="I903">
        <v>30.14</v>
      </c>
      <c r="J903">
        <v>152.80000000000001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5.0999999999999996</v>
      </c>
      <c r="Q903">
        <v>2</v>
      </c>
      <c r="R903">
        <v>1.38</v>
      </c>
      <c r="S903">
        <v>0</v>
      </c>
      <c r="T903" t="b">
        <v>0</v>
      </c>
    </row>
    <row r="904" spans="1:20" x14ac:dyDescent="0.25">
      <c r="A904" t="s">
        <v>66</v>
      </c>
      <c r="B904">
        <v>95</v>
      </c>
      <c r="C904">
        <v>408</v>
      </c>
      <c r="D904" t="s">
        <v>29</v>
      </c>
      <c r="E904" t="s">
        <v>30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 x14ac:dyDescent="0.25">
      <c r="A905" t="s">
        <v>53</v>
      </c>
      <c r="B905">
        <v>132</v>
      </c>
      <c r="C905">
        <v>415</v>
      </c>
      <c r="D905" t="s">
        <v>29</v>
      </c>
      <c r="E905" t="s">
        <v>29</v>
      </c>
      <c r="F905">
        <v>0</v>
      </c>
      <c r="G905">
        <v>193.3</v>
      </c>
      <c r="H905">
        <v>106</v>
      </c>
      <c r="I905">
        <v>32.86</v>
      </c>
      <c r="J905">
        <v>128.30000000000001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 x14ac:dyDescent="0.25">
      <c r="A906" t="s">
        <v>78</v>
      </c>
      <c r="B906">
        <v>119</v>
      </c>
      <c r="C906">
        <v>408</v>
      </c>
      <c r="D906" t="s">
        <v>29</v>
      </c>
      <c r="E906" t="s">
        <v>30</v>
      </c>
      <c r="F906">
        <v>24</v>
      </c>
      <c r="G906">
        <v>217.2</v>
      </c>
      <c r="H906">
        <v>94</v>
      </c>
      <c r="I906">
        <v>36.92</v>
      </c>
      <c r="J906">
        <v>138.69999999999999</v>
      </c>
      <c r="K906">
        <v>52</v>
      </c>
      <c r="L906">
        <v>11.79</v>
      </c>
      <c r="M906">
        <v>139.30000000000001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 x14ac:dyDescent="0.25">
      <c r="A907" t="s">
        <v>34</v>
      </c>
      <c r="B907">
        <v>16</v>
      </c>
      <c r="C907">
        <v>408</v>
      </c>
      <c r="D907" t="s">
        <v>29</v>
      </c>
      <c r="E907" t="s">
        <v>29</v>
      </c>
      <c r="F907">
        <v>0</v>
      </c>
      <c r="G907">
        <v>209.5</v>
      </c>
      <c r="H907">
        <v>89</v>
      </c>
      <c r="I907">
        <v>35.619999999999997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4.2300000000000004</v>
      </c>
      <c r="P907">
        <v>8.8000000000000007</v>
      </c>
      <c r="Q907">
        <v>4</v>
      </c>
      <c r="R907">
        <v>2.38</v>
      </c>
      <c r="S907">
        <v>1</v>
      </c>
      <c r="T907" t="b">
        <v>0</v>
      </c>
    </row>
    <row r="908" spans="1:20" x14ac:dyDescent="0.25">
      <c r="A908" t="s">
        <v>80</v>
      </c>
      <c r="B908">
        <v>99</v>
      </c>
      <c r="C908">
        <v>408</v>
      </c>
      <c r="D908" t="s">
        <v>29</v>
      </c>
      <c r="E908" t="s">
        <v>29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 x14ac:dyDescent="0.25">
      <c r="A909" t="s">
        <v>46</v>
      </c>
      <c r="B909">
        <v>76</v>
      </c>
      <c r="C909">
        <v>408</v>
      </c>
      <c r="D909" t="s">
        <v>29</v>
      </c>
      <c r="E909" t="s">
        <v>30</v>
      </c>
      <c r="F909">
        <v>26</v>
      </c>
      <c r="G909">
        <v>214.6</v>
      </c>
      <c r="H909">
        <v>110</v>
      </c>
      <c r="I909">
        <v>36.479999999999997</v>
      </c>
      <c r="J909">
        <v>205.2</v>
      </c>
      <c r="K909">
        <v>87</v>
      </c>
      <c r="L909">
        <v>17.440000000000001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 x14ac:dyDescent="0.25">
      <c r="A910" t="s">
        <v>28</v>
      </c>
      <c r="B910">
        <v>167</v>
      </c>
      <c r="C910">
        <v>415</v>
      </c>
      <c r="D910" t="s">
        <v>29</v>
      </c>
      <c r="E910" t="s">
        <v>29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 x14ac:dyDescent="0.25">
      <c r="A911" t="s">
        <v>32</v>
      </c>
      <c r="B911">
        <v>129</v>
      </c>
      <c r="C911">
        <v>415</v>
      </c>
      <c r="D911" t="s">
        <v>29</v>
      </c>
      <c r="E911" t="s">
        <v>29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81.599999999999994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 x14ac:dyDescent="0.25">
      <c r="A912" t="s">
        <v>45</v>
      </c>
      <c r="B912">
        <v>116</v>
      </c>
      <c r="C912">
        <v>408</v>
      </c>
      <c r="D912" t="s">
        <v>29</v>
      </c>
      <c r="E912" t="s">
        <v>29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 x14ac:dyDescent="0.25">
      <c r="A913" t="s">
        <v>62</v>
      </c>
      <c r="B913">
        <v>60</v>
      </c>
      <c r="C913">
        <v>415</v>
      </c>
      <c r="D913" t="s">
        <v>30</v>
      </c>
      <c r="E913" t="s">
        <v>29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 x14ac:dyDescent="0.25">
      <c r="A914" t="s">
        <v>44</v>
      </c>
      <c r="B914">
        <v>47</v>
      </c>
      <c r="C914">
        <v>408</v>
      </c>
      <c r="D914" t="s">
        <v>29</v>
      </c>
      <c r="E914" t="s">
        <v>30</v>
      </c>
      <c r="F914">
        <v>28</v>
      </c>
      <c r="G914">
        <v>112.2</v>
      </c>
      <c r="H914">
        <v>70</v>
      </c>
      <c r="I914">
        <v>19.07</v>
      </c>
      <c r="J914">
        <v>154.80000000000001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 x14ac:dyDescent="0.25">
      <c r="A915" t="s">
        <v>66</v>
      </c>
      <c r="B915">
        <v>40</v>
      </c>
      <c r="C915">
        <v>510</v>
      </c>
      <c r="D915" t="s">
        <v>30</v>
      </c>
      <c r="E915" t="s">
        <v>29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281.89999999999998</v>
      </c>
      <c r="N915">
        <v>89</v>
      </c>
      <c r="O915">
        <v>12.69</v>
      </c>
      <c r="P915">
        <v>8.1999999999999993</v>
      </c>
      <c r="Q915">
        <v>9</v>
      </c>
      <c r="R915">
        <v>2.21</v>
      </c>
      <c r="S915">
        <v>3</v>
      </c>
      <c r="T915" t="b">
        <v>0</v>
      </c>
    </row>
    <row r="916" spans="1:20" x14ac:dyDescent="0.25">
      <c r="A916" t="s">
        <v>54</v>
      </c>
      <c r="B916">
        <v>173</v>
      </c>
      <c r="C916">
        <v>510</v>
      </c>
      <c r="D916" t="s">
        <v>29</v>
      </c>
      <c r="E916" t="s">
        <v>29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 x14ac:dyDescent="0.25">
      <c r="A917" t="s">
        <v>58</v>
      </c>
      <c r="B917">
        <v>157</v>
      </c>
      <c r="C917">
        <v>510</v>
      </c>
      <c r="D917" t="s">
        <v>29</v>
      </c>
      <c r="E917" t="s">
        <v>30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 x14ac:dyDescent="0.25">
      <c r="A918" t="s">
        <v>73</v>
      </c>
      <c r="B918">
        <v>66</v>
      </c>
      <c r="C918">
        <v>408</v>
      </c>
      <c r="D918" t="s">
        <v>29</v>
      </c>
      <c r="E918" t="s">
        <v>30</v>
      </c>
      <c r="F918">
        <v>32</v>
      </c>
      <c r="G918">
        <v>187.8</v>
      </c>
      <c r="H918">
        <v>117</v>
      </c>
      <c r="I918">
        <v>31.93</v>
      </c>
      <c r="J918">
        <v>129.80000000000001</v>
      </c>
      <c r="K918">
        <v>90</v>
      </c>
      <c r="L918">
        <v>11.03</v>
      </c>
      <c r="M918">
        <v>132.30000000000001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 x14ac:dyDescent="0.25">
      <c r="A919" t="s">
        <v>42</v>
      </c>
      <c r="B919">
        <v>50</v>
      </c>
      <c r="C919">
        <v>415</v>
      </c>
      <c r="D919" t="s">
        <v>30</v>
      </c>
      <c r="E919" t="s">
        <v>30</v>
      </c>
      <c r="F919">
        <v>26</v>
      </c>
      <c r="G919">
        <v>307.10000000000002</v>
      </c>
      <c r="H919">
        <v>94</v>
      </c>
      <c r="I919">
        <v>52.21</v>
      </c>
      <c r="J919">
        <v>289.39999999999998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 x14ac:dyDescent="0.25">
      <c r="A920" t="s">
        <v>61</v>
      </c>
      <c r="B920">
        <v>72</v>
      </c>
      <c r="C920">
        <v>415</v>
      </c>
      <c r="D920" t="s">
        <v>29</v>
      </c>
      <c r="E920" t="s">
        <v>29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 x14ac:dyDescent="0.25">
      <c r="A921" t="s">
        <v>28</v>
      </c>
      <c r="B921">
        <v>130</v>
      </c>
      <c r="C921">
        <v>510</v>
      </c>
      <c r="D921" t="s">
        <v>29</v>
      </c>
      <c r="E921" t="s">
        <v>29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 x14ac:dyDescent="0.25">
      <c r="A922" t="s">
        <v>68</v>
      </c>
      <c r="B922">
        <v>143</v>
      </c>
      <c r="C922">
        <v>408</v>
      </c>
      <c r="D922" t="s">
        <v>29</v>
      </c>
      <c r="E922" t="s">
        <v>29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2.0499999999999998</v>
      </c>
      <c r="S922">
        <v>1</v>
      </c>
      <c r="T922" t="b">
        <v>0</v>
      </c>
    </row>
    <row r="923" spans="1:20" x14ac:dyDescent="0.25">
      <c r="A923" t="s">
        <v>44</v>
      </c>
      <c r="B923">
        <v>32</v>
      </c>
      <c r="C923">
        <v>408</v>
      </c>
      <c r="D923" t="s">
        <v>29</v>
      </c>
      <c r="E923" t="s">
        <v>29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 x14ac:dyDescent="0.25">
      <c r="A924" t="s">
        <v>35</v>
      </c>
      <c r="B924">
        <v>166</v>
      </c>
      <c r="C924">
        <v>415</v>
      </c>
      <c r="D924" t="s">
        <v>29</v>
      </c>
      <c r="E924" t="s">
        <v>29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9.1999999999999993</v>
      </c>
      <c r="Q924">
        <v>5</v>
      </c>
      <c r="R924">
        <v>2.48</v>
      </c>
      <c r="S924">
        <v>2</v>
      </c>
      <c r="T924" t="b">
        <v>0</v>
      </c>
    </row>
    <row r="925" spans="1:20" x14ac:dyDescent="0.25">
      <c r="A925" t="s">
        <v>62</v>
      </c>
      <c r="B925">
        <v>72</v>
      </c>
      <c r="C925">
        <v>408</v>
      </c>
      <c r="D925" t="s">
        <v>29</v>
      </c>
      <c r="E925" t="s">
        <v>30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 x14ac:dyDescent="0.25">
      <c r="A926" t="s">
        <v>39</v>
      </c>
      <c r="B926">
        <v>134</v>
      </c>
      <c r="C926">
        <v>415</v>
      </c>
      <c r="D926" t="s">
        <v>29</v>
      </c>
      <c r="E926" t="s">
        <v>30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2.3199999999999998</v>
      </c>
      <c r="S926">
        <v>0</v>
      </c>
      <c r="T926" t="b">
        <v>0</v>
      </c>
    </row>
    <row r="927" spans="1:20" x14ac:dyDescent="0.25">
      <c r="A927" t="s">
        <v>51</v>
      </c>
      <c r="B927">
        <v>13</v>
      </c>
      <c r="C927">
        <v>415</v>
      </c>
      <c r="D927" t="s">
        <v>29</v>
      </c>
      <c r="E927" t="s">
        <v>29</v>
      </c>
      <c r="F927">
        <v>0</v>
      </c>
      <c r="G927">
        <v>193.2</v>
      </c>
      <c r="H927">
        <v>89</v>
      </c>
      <c r="I927">
        <v>32.840000000000003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9.6999999999999993</v>
      </c>
      <c r="Q927">
        <v>2</v>
      </c>
      <c r="R927">
        <v>2.62</v>
      </c>
      <c r="S927">
        <v>4</v>
      </c>
      <c r="T927" t="b">
        <v>0</v>
      </c>
    </row>
    <row r="928" spans="1:20" x14ac:dyDescent="0.25">
      <c r="A928" t="s">
        <v>53</v>
      </c>
      <c r="B928">
        <v>90</v>
      </c>
      <c r="C928">
        <v>415</v>
      </c>
      <c r="D928" t="s">
        <v>29</v>
      </c>
      <c r="E928" t="s">
        <v>29</v>
      </c>
      <c r="F928">
        <v>0</v>
      </c>
      <c r="G928">
        <v>113.2</v>
      </c>
      <c r="H928">
        <v>108</v>
      </c>
      <c r="I928">
        <v>19.239999999999998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 x14ac:dyDescent="0.25">
      <c r="A929" t="s">
        <v>57</v>
      </c>
      <c r="B929">
        <v>111</v>
      </c>
      <c r="C929">
        <v>415</v>
      </c>
      <c r="D929" t="s">
        <v>29</v>
      </c>
      <c r="E929" t="s">
        <v>30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4.9000000000000004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 x14ac:dyDescent="0.25">
      <c r="A930" t="s">
        <v>46</v>
      </c>
      <c r="B930">
        <v>101</v>
      </c>
      <c r="C930">
        <v>408</v>
      </c>
      <c r="D930" t="s">
        <v>29</v>
      </c>
      <c r="E930" t="s">
        <v>30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 x14ac:dyDescent="0.25">
      <c r="A931" t="s">
        <v>75</v>
      </c>
      <c r="B931">
        <v>72</v>
      </c>
      <c r="C931">
        <v>415</v>
      </c>
      <c r="D931" t="s">
        <v>29</v>
      </c>
      <c r="E931" t="s">
        <v>29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 x14ac:dyDescent="0.25">
      <c r="A932" t="s">
        <v>74</v>
      </c>
      <c r="B932">
        <v>67</v>
      </c>
      <c r="C932">
        <v>510</v>
      </c>
      <c r="D932" t="s">
        <v>29</v>
      </c>
      <c r="E932" t="s">
        <v>30</v>
      </c>
      <c r="F932">
        <v>35</v>
      </c>
      <c r="G932">
        <v>245.4</v>
      </c>
      <c r="H932">
        <v>89</v>
      </c>
      <c r="I932">
        <v>41.72</v>
      </c>
      <c r="J932">
        <v>148.19999999999999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2.0299999999999998</v>
      </c>
      <c r="S932">
        <v>1</v>
      </c>
      <c r="T932" t="b">
        <v>0</v>
      </c>
    </row>
    <row r="933" spans="1:20" x14ac:dyDescent="0.25">
      <c r="A933" t="s">
        <v>55</v>
      </c>
      <c r="B933">
        <v>172</v>
      </c>
      <c r="C933">
        <v>408</v>
      </c>
      <c r="D933" t="s">
        <v>29</v>
      </c>
      <c r="E933" t="s">
        <v>29</v>
      </c>
      <c r="F933">
        <v>0</v>
      </c>
      <c r="G933">
        <v>287.10000000000002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153.19999999999999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 x14ac:dyDescent="0.25">
      <c r="A934" t="s">
        <v>60</v>
      </c>
      <c r="B934">
        <v>154</v>
      </c>
      <c r="C934">
        <v>510</v>
      </c>
      <c r="D934" t="s">
        <v>29</v>
      </c>
      <c r="E934" t="s">
        <v>30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2.4300000000000002</v>
      </c>
      <c r="S934">
        <v>2</v>
      </c>
      <c r="T934" t="b">
        <v>0</v>
      </c>
    </row>
    <row r="935" spans="1:20" x14ac:dyDescent="0.25">
      <c r="A935" t="s">
        <v>72</v>
      </c>
      <c r="B935">
        <v>69</v>
      </c>
      <c r="C935">
        <v>510</v>
      </c>
      <c r="D935" t="s">
        <v>29</v>
      </c>
      <c r="E935" t="s">
        <v>29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9.7100000000000009</v>
      </c>
      <c r="P935">
        <v>9.6999999999999993</v>
      </c>
      <c r="Q935">
        <v>3</v>
      </c>
      <c r="R935">
        <v>2.62</v>
      </c>
      <c r="S935">
        <v>2</v>
      </c>
      <c r="T935" t="b">
        <v>0</v>
      </c>
    </row>
    <row r="936" spans="1:20" x14ac:dyDescent="0.25">
      <c r="A936" t="s">
        <v>69</v>
      </c>
      <c r="B936">
        <v>123</v>
      </c>
      <c r="C936">
        <v>415</v>
      </c>
      <c r="D936" t="s">
        <v>29</v>
      </c>
      <c r="E936" t="s">
        <v>29</v>
      </c>
      <c r="F936">
        <v>0</v>
      </c>
      <c r="G936">
        <v>211</v>
      </c>
      <c r="H936">
        <v>92</v>
      </c>
      <c r="I936">
        <v>35.869999999999997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9.8000000000000007</v>
      </c>
      <c r="Q936">
        <v>7</v>
      </c>
      <c r="R936">
        <v>2.65</v>
      </c>
      <c r="S936">
        <v>3</v>
      </c>
      <c r="T936" t="b">
        <v>0</v>
      </c>
    </row>
    <row r="937" spans="1:20" x14ac:dyDescent="0.25">
      <c r="A937" t="s">
        <v>76</v>
      </c>
      <c r="B937">
        <v>130</v>
      </c>
      <c r="C937">
        <v>415</v>
      </c>
      <c r="D937" t="s">
        <v>29</v>
      </c>
      <c r="E937" t="s">
        <v>30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8.7799999999999994</v>
      </c>
      <c r="P937">
        <v>8.6999999999999993</v>
      </c>
      <c r="Q937">
        <v>5</v>
      </c>
      <c r="R937">
        <v>2.35</v>
      </c>
      <c r="S937">
        <v>0</v>
      </c>
      <c r="T937" t="b">
        <v>0</v>
      </c>
    </row>
    <row r="938" spans="1:20" x14ac:dyDescent="0.25">
      <c r="A938" t="s">
        <v>45</v>
      </c>
      <c r="B938">
        <v>142</v>
      </c>
      <c r="C938">
        <v>415</v>
      </c>
      <c r="D938" t="s">
        <v>29</v>
      </c>
      <c r="E938" t="s">
        <v>30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 x14ac:dyDescent="0.25">
      <c r="A939" t="s">
        <v>78</v>
      </c>
      <c r="B939">
        <v>87</v>
      </c>
      <c r="C939">
        <v>408</v>
      </c>
      <c r="D939" t="s">
        <v>29</v>
      </c>
      <c r="E939" t="s">
        <v>30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 x14ac:dyDescent="0.25">
      <c r="A940" t="s">
        <v>48</v>
      </c>
      <c r="B940">
        <v>149</v>
      </c>
      <c r="C940">
        <v>415</v>
      </c>
      <c r="D940" t="s">
        <v>29</v>
      </c>
      <c r="E940" t="s">
        <v>29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163.30000000000001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 x14ac:dyDescent="0.25">
      <c r="A941" t="s">
        <v>76</v>
      </c>
      <c r="B941">
        <v>146</v>
      </c>
      <c r="C941">
        <v>408</v>
      </c>
      <c r="D941" t="s">
        <v>30</v>
      </c>
      <c r="E941" t="s">
        <v>29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9.1999999999999993</v>
      </c>
      <c r="Q941">
        <v>3</v>
      </c>
      <c r="R941">
        <v>2.48</v>
      </c>
      <c r="S941">
        <v>2</v>
      </c>
      <c r="T941" t="b">
        <v>0</v>
      </c>
    </row>
    <row r="942" spans="1:20" x14ac:dyDescent="0.25">
      <c r="A942" t="s">
        <v>55</v>
      </c>
      <c r="B942">
        <v>88</v>
      </c>
      <c r="C942">
        <v>415</v>
      </c>
      <c r="D942" t="s">
        <v>30</v>
      </c>
      <c r="E942" t="s">
        <v>29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285.89999999999998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 x14ac:dyDescent="0.25">
      <c r="A943" t="s">
        <v>42</v>
      </c>
      <c r="B943">
        <v>48</v>
      </c>
      <c r="C943">
        <v>510</v>
      </c>
      <c r="D943" t="s">
        <v>29</v>
      </c>
      <c r="E943" t="s">
        <v>29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 x14ac:dyDescent="0.25">
      <c r="A944" t="s">
        <v>58</v>
      </c>
      <c r="B944">
        <v>135</v>
      </c>
      <c r="C944">
        <v>415</v>
      </c>
      <c r="D944" t="s">
        <v>29</v>
      </c>
      <c r="E944" t="s">
        <v>29</v>
      </c>
      <c r="F944">
        <v>0</v>
      </c>
      <c r="G944">
        <v>194.8</v>
      </c>
      <c r="H944">
        <v>97</v>
      </c>
      <c r="I944">
        <v>33.119999999999997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 x14ac:dyDescent="0.25">
      <c r="A945" t="s">
        <v>60</v>
      </c>
      <c r="B945">
        <v>100</v>
      </c>
      <c r="C945">
        <v>510</v>
      </c>
      <c r="D945" t="s">
        <v>29</v>
      </c>
      <c r="E945" t="s">
        <v>29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134.30000000000001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 x14ac:dyDescent="0.25">
      <c r="A946" t="s">
        <v>36</v>
      </c>
      <c r="B946">
        <v>98</v>
      </c>
      <c r="C946">
        <v>415</v>
      </c>
      <c r="D946" t="s">
        <v>29</v>
      </c>
      <c r="E946" t="s">
        <v>29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 x14ac:dyDescent="0.25">
      <c r="A947" t="s">
        <v>45</v>
      </c>
      <c r="B947">
        <v>75</v>
      </c>
      <c r="C947">
        <v>510</v>
      </c>
      <c r="D947" t="s">
        <v>29</v>
      </c>
      <c r="E947" t="s">
        <v>30</v>
      </c>
      <c r="F947">
        <v>26</v>
      </c>
      <c r="G947">
        <v>118.5</v>
      </c>
      <c r="H947">
        <v>86</v>
      </c>
      <c r="I947">
        <v>20.149999999999999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 x14ac:dyDescent="0.25">
      <c r="A948" t="s">
        <v>69</v>
      </c>
      <c r="B948">
        <v>180</v>
      </c>
      <c r="C948">
        <v>415</v>
      </c>
      <c r="D948" t="s">
        <v>29</v>
      </c>
      <c r="E948" t="s">
        <v>30</v>
      </c>
      <c r="F948">
        <v>33</v>
      </c>
      <c r="G948">
        <v>231.8</v>
      </c>
      <c r="H948">
        <v>78</v>
      </c>
      <c r="I948">
        <v>39.409999999999997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2.0499999999999998</v>
      </c>
      <c r="S948">
        <v>1</v>
      </c>
      <c r="T948" t="b">
        <v>0</v>
      </c>
    </row>
    <row r="949" spans="1:20" x14ac:dyDescent="0.25">
      <c r="A949" t="s">
        <v>42</v>
      </c>
      <c r="B949">
        <v>100</v>
      </c>
      <c r="C949">
        <v>415</v>
      </c>
      <c r="D949" t="s">
        <v>29</v>
      </c>
      <c r="E949" t="s">
        <v>30</v>
      </c>
      <c r="F949">
        <v>25</v>
      </c>
      <c r="G949">
        <v>215.9</v>
      </c>
      <c r="H949">
        <v>90</v>
      </c>
      <c r="I949">
        <v>36.700000000000003</v>
      </c>
      <c r="J949">
        <v>257.89999999999998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 x14ac:dyDescent="0.25">
      <c r="A950" t="s">
        <v>31</v>
      </c>
      <c r="B950">
        <v>119</v>
      </c>
      <c r="C950">
        <v>415</v>
      </c>
      <c r="D950" t="s">
        <v>29</v>
      </c>
      <c r="E950" t="s">
        <v>30</v>
      </c>
      <c r="F950">
        <v>35</v>
      </c>
      <c r="G950">
        <v>217.1</v>
      </c>
      <c r="H950">
        <v>92</v>
      </c>
      <c r="I950">
        <v>36.909999999999997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 x14ac:dyDescent="0.25">
      <c r="A951" t="s">
        <v>52</v>
      </c>
      <c r="B951">
        <v>155</v>
      </c>
      <c r="C951">
        <v>408</v>
      </c>
      <c r="D951" t="s">
        <v>29</v>
      </c>
      <c r="E951" t="s">
        <v>30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5.0999999999999996</v>
      </c>
      <c r="Q951">
        <v>7</v>
      </c>
      <c r="R951">
        <v>1.38</v>
      </c>
      <c r="S951">
        <v>1</v>
      </c>
      <c r="T951" t="b">
        <v>0</v>
      </c>
    </row>
    <row r="952" spans="1:20" x14ac:dyDescent="0.25">
      <c r="A952" t="s">
        <v>50</v>
      </c>
      <c r="B952">
        <v>78</v>
      </c>
      <c r="C952">
        <v>415</v>
      </c>
      <c r="D952" t="s">
        <v>30</v>
      </c>
      <c r="E952" t="s">
        <v>29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 x14ac:dyDescent="0.25">
      <c r="A953" t="s">
        <v>32</v>
      </c>
      <c r="B953">
        <v>153</v>
      </c>
      <c r="C953">
        <v>415</v>
      </c>
      <c r="D953" t="s">
        <v>29</v>
      </c>
      <c r="E953" t="s">
        <v>29</v>
      </c>
      <c r="F953">
        <v>0</v>
      </c>
      <c r="G953">
        <v>193.8</v>
      </c>
      <c r="H953">
        <v>90</v>
      </c>
      <c r="I953">
        <v>32.950000000000003</v>
      </c>
      <c r="J953">
        <v>195.3</v>
      </c>
      <c r="K953">
        <v>121</v>
      </c>
      <c r="L953">
        <v>16.600000000000001</v>
      </c>
      <c r="M953">
        <v>182.7</v>
      </c>
      <c r="N953">
        <v>108</v>
      </c>
      <c r="O953">
        <v>8.2200000000000006</v>
      </c>
      <c r="P953">
        <v>8.5</v>
      </c>
      <c r="Q953">
        <v>3</v>
      </c>
      <c r="R953">
        <v>2.2999999999999998</v>
      </c>
      <c r="S953">
        <v>1</v>
      </c>
      <c r="T953" t="b">
        <v>0</v>
      </c>
    </row>
    <row r="954" spans="1:20" x14ac:dyDescent="0.25">
      <c r="A954" t="s">
        <v>48</v>
      </c>
      <c r="B954">
        <v>154</v>
      </c>
      <c r="C954">
        <v>415</v>
      </c>
      <c r="D954" t="s">
        <v>29</v>
      </c>
      <c r="E954" t="s">
        <v>29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10.199999999999999</v>
      </c>
      <c r="Q954">
        <v>3</v>
      </c>
      <c r="R954">
        <v>2.75</v>
      </c>
      <c r="S954">
        <v>3</v>
      </c>
      <c r="T954" t="b">
        <v>0</v>
      </c>
    </row>
    <row r="955" spans="1:20" x14ac:dyDescent="0.25">
      <c r="A955" t="s">
        <v>37</v>
      </c>
      <c r="B955">
        <v>48</v>
      </c>
      <c r="C955">
        <v>408</v>
      </c>
      <c r="D955" t="s">
        <v>29</v>
      </c>
      <c r="E955" t="s">
        <v>29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 x14ac:dyDescent="0.25">
      <c r="A956" t="s">
        <v>79</v>
      </c>
      <c r="B956">
        <v>94</v>
      </c>
      <c r="C956">
        <v>408</v>
      </c>
      <c r="D956" t="s">
        <v>29</v>
      </c>
      <c r="E956" t="s">
        <v>29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 x14ac:dyDescent="0.25">
      <c r="A957" t="s">
        <v>61</v>
      </c>
      <c r="B957">
        <v>139</v>
      </c>
      <c r="C957">
        <v>415</v>
      </c>
      <c r="D957" t="s">
        <v>29</v>
      </c>
      <c r="E957" t="s">
        <v>29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 x14ac:dyDescent="0.25">
      <c r="A958" t="s">
        <v>73</v>
      </c>
      <c r="B958">
        <v>126</v>
      </c>
      <c r="C958">
        <v>415</v>
      </c>
      <c r="D958" t="s">
        <v>29</v>
      </c>
      <c r="E958" t="s">
        <v>29</v>
      </c>
      <c r="F958">
        <v>0</v>
      </c>
      <c r="G958">
        <v>228.7</v>
      </c>
      <c r="H958">
        <v>102</v>
      </c>
      <c r="I958">
        <v>38.880000000000003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 x14ac:dyDescent="0.25">
      <c r="A959" t="s">
        <v>66</v>
      </c>
      <c r="B959">
        <v>122</v>
      </c>
      <c r="C959">
        <v>415</v>
      </c>
      <c r="D959" t="s">
        <v>29</v>
      </c>
      <c r="E959" t="s">
        <v>29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 x14ac:dyDescent="0.25">
      <c r="A960" t="s">
        <v>28</v>
      </c>
      <c r="B960">
        <v>131</v>
      </c>
      <c r="C960">
        <v>415</v>
      </c>
      <c r="D960" t="s">
        <v>29</v>
      </c>
      <c r="E960" t="s">
        <v>30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19.309999999999999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2.0499999999999998</v>
      </c>
      <c r="S960">
        <v>3</v>
      </c>
      <c r="T960" t="b">
        <v>0</v>
      </c>
    </row>
    <row r="961" spans="1:20" x14ac:dyDescent="0.25">
      <c r="A961" t="s">
        <v>28</v>
      </c>
      <c r="B961">
        <v>36</v>
      </c>
      <c r="C961">
        <v>510</v>
      </c>
      <c r="D961" t="s">
        <v>29</v>
      </c>
      <c r="E961" t="s">
        <v>29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 x14ac:dyDescent="0.25">
      <c r="A962" t="s">
        <v>68</v>
      </c>
      <c r="B962">
        <v>180</v>
      </c>
      <c r="C962">
        <v>510</v>
      </c>
      <c r="D962" t="s">
        <v>29</v>
      </c>
      <c r="E962" t="s">
        <v>29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 x14ac:dyDescent="0.25">
      <c r="A963" t="s">
        <v>40</v>
      </c>
      <c r="B963">
        <v>25</v>
      </c>
      <c r="C963">
        <v>415</v>
      </c>
      <c r="D963" t="s">
        <v>29</v>
      </c>
      <c r="E963" t="s">
        <v>29</v>
      </c>
      <c r="F963">
        <v>0</v>
      </c>
      <c r="G963">
        <v>134.30000000000001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 x14ac:dyDescent="0.25">
      <c r="A964" t="s">
        <v>54</v>
      </c>
      <c r="B964">
        <v>120</v>
      </c>
      <c r="C964">
        <v>415</v>
      </c>
      <c r="D964" t="s">
        <v>29</v>
      </c>
      <c r="E964" t="s">
        <v>29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9.3000000000000007</v>
      </c>
      <c r="Q964">
        <v>9</v>
      </c>
      <c r="R964">
        <v>2.5099999999999998</v>
      </c>
      <c r="S964">
        <v>1</v>
      </c>
      <c r="T964" t="b">
        <v>0</v>
      </c>
    </row>
    <row r="965" spans="1:20" x14ac:dyDescent="0.25">
      <c r="A965" t="s">
        <v>56</v>
      </c>
      <c r="B965">
        <v>109</v>
      </c>
      <c r="C965">
        <v>510</v>
      </c>
      <c r="D965" t="s">
        <v>29</v>
      </c>
      <c r="E965" t="s">
        <v>29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20.420000000000002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 x14ac:dyDescent="0.25">
      <c r="A966" t="s">
        <v>52</v>
      </c>
      <c r="B966">
        <v>162</v>
      </c>
      <c r="C966">
        <v>510</v>
      </c>
      <c r="D966" t="s">
        <v>29</v>
      </c>
      <c r="E966" t="s">
        <v>30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 x14ac:dyDescent="0.25">
      <c r="A967" t="s">
        <v>28</v>
      </c>
      <c r="B967">
        <v>124</v>
      </c>
      <c r="C967">
        <v>510</v>
      </c>
      <c r="D967" t="s">
        <v>29</v>
      </c>
      <c r="E967" t="s">
        <v>30</v>
      </c>
      <c r="F967">
        <v>37</v>
      </c>
      <c r="G967">
        <v>161.19999999999999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 x14ac:dyDescent="0.25">
      <c r="A968" t="s">
        <v>58</v>
      </c>
      <c r="B968">
        <v>177</v>
      </c>
      <c r="C968">
        <v>408</v>
      </c>
      <c r="D968" t="s">
        <v>29</v>
      </c>
      <c r="E968" t="s">
        <v>29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9.4700000000000006</v>
      </c>
      <c r="P968">
        <v>7.5</v>
      </c>
      <c r="Q968">
        <v>5</v>
      </c>
      <c r="R968">
        <v>2.0299999999999998</v>
      </c>
      <c r="S968">
        <v>2</v>
      </c>
      <c r="T968" t="b">
        <v>0</v>
      </c>
    </row>
    <row r="969" spans="1:20" x14ac:dyDescent="0.25">
      <c r="A969" t="s">
        <v>57</v>
      </c>
      <c r="B969">
        <v>91</v>
      </c>
      <c r="C969">
        <v>510</v>
      </c>
      <c r="D969" t="s">
        <v>29</v>
      </c>
      <c r="E969" t="s">
        <v>29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19.559999999999999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 x14ac:dyDescent="0.25">
      <c r="A970" t="s">
        <v>46</v>
      </c>
      <c r="B970">
        <v>105</v>
      </c>
      <c r="C970">
        <v>408</v>
      </c>
      <c r="D970" t="s">
        <v>29</v>
      </c>
      <c r="E970" t="s">
        <v>29</v>
      </c>
      <c r="F970">
        <v>0</v>
      </c>
      <c r="G970">
        <v>270.89999999999998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8.0500000000000007</v>
      </c>
      <c r="P970">
        <v>8.8000000000000007</v>
      </c>
      <c r="Q970">
        <v>5</v>
      </c>
      <c r="R970">
        <v>2.38</v>
      </c>
      <c r="S970">
        <v>0</v>
      </c>
      <c r="T970" t="b">
        <v>1</v>
      </c>
    </row>
    <row r="971" spans="1:20" x14ac:dyDescent="0.25">
      <c r="A971" t="s">
        <v>28</v>
      </c>
      <c r="B971">
        <v>24</v>
      </c>
      <c r="C971">
        <v>510</v>
      </c>
      <c r="D971" t="s">
        <v>29</v>
      </c>
      <c r="E971" t="s">
        <v>29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8.2899999999999991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 x14ac:dyDescent="0.25">
      <c r="A972" t="s">
        <v>39</v>
      </c>
      <c r="B972">
        <v>86</v>
      </c>
      <c r="C972">
        <v>408</v>
      </c>
      <c r="D972" t="s">
        <v>29</v>
      </c>
      <c r="E972" t="s">
        <v>29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9.8000000000000007</v>
      </c>
      <c r="Q972">
        <v>7</v>
      </c>
      <c r="R972">
        <v>2.65</v>
      </c>
      <c r="S972">
        <v>2</v>
      </c>
      <c r="T972" t="b">
        <v>0</v>
      </c>
    </row>
    <row r="973" spans="1:20" x14ac:dyDescent="0.25">
      <c r="A973" t="s">
        <v>48</v>
      </c>
      <c r="B973">
        <v>91</v>
      </c>
      <c r="C973">
        <v>510</v>
      </c>
      <c r="D973" t="s">
        <v>29</v>
      </c>
      <c r="E973" t="s">
        <v>29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 x14ac:dyDescent="0.25">
      <c r="A974" t="s">
        <v>31</v>
      </c>
      <c r="B974">
        <v>147</v>
      </c>
      <c r="C974">
        <v>415</v>
      </c>
      <c r="D974" t="s">
        <v>30</v>
      </c>
      <c r="E974" t="s">
        <v>30</v>
      </c>
      <c r="F974">
        <v>24</v>
      </c>
      <c r="G974">
        <v>219.9</v>
      </c>
      <c r="H974">
        <v>118</v>
      </c>
      <c r="I974">
        <v>37.380000000000003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 x14ac:dyDescent="0.25">
      <c r="A975" t="s">
        <v>76</v>
      </c>
      <c r="B975">
        <v>108</v>
      </c>
      <c r="C975">
        <v>510</v>
      </c>
      <c r="D975" t="s">
        <v>29</v>
      </c>
      <c r="E975" t="s">
        <v>30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 x14ac:dyDescent="0.25">
      <c r="A976" t="s">
        <v>33</v>
      </c>
      <c r="B976">
        <v>159</v>
      </c>
      <c r="C976">
        <v>510</v>
      </c>
      <c r="D976" t="s">
        <v>29</v>
      </c>
      <c r="E976" t="s">
        <v>29</v>
      </c>
      <c r="F976">
        <v>0</v>
      </c>
      <c r="G976">
        <v>198.8</v>
      </c>
      <c r="H976">
        <v>107</v>
      </c>
      <c r="I976">
        <v>33.799999999999997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 x14ac:dyDescent="0.25">
      <c r="A977" t="s">
        <v>79</v>
      </c>
      <c r="B977">
        <v>136</v>
      </c>
      <c r="C977">
        <v>510</v>
      </c>
      <c r="D977" t="s">
        <v>30</v>
      </c>
      <c r="E977" t="s">
        <v>29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19.559999999999999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 x14ac:dyDescent="0.25">
      <c r="A978" t="s">
        <v>64</v>
      </c>
      <c r="B978">
        <v>45</v>
      </c>
      <c r="C978">
        <v>408</v>
      </c>
      <c r="D978" t="s">
        <v>29</v>
      </c>
      <c r="E978" t="s">
        <v>30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 x14ac:dyDescent="0.25">
      <c r="A979" t="s">
        <v>66</v>
      </c>
      <c r="B979">
        <v>122</v>
      </c>
      <c r="C979">
        <v>415</v>
      </c>
      <c r="D979" t="s">
        <v>29</v>
      </c>
      <c r="E979" t="s">
        <v>29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19.670000000000002</v>
      </c>
      <c r="M979">
        <v>188.1</v>
      </c>
      <c r="N979">
        <v>127</v>
      </c>
      <c r="O979">
        <v>8.4600000000000009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 x14ac:dyDescent="0.25">
      <c r="A980" t="s">
        <v>66</v>
      </c>
      <c r="B980">
        <v>138</v>
      </c>
      <c r="C980">
        <v>415</v>
      </c>
      <c r="D980" t="s">
        <v>29</v>
      </c>
      <c r="E980" t="s">
        <v>29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2.4300000000000002</v>
      </c>
      <c r="S980">
        <v>5</v>
      </c>
      <c r="T980" t="b">
        <v>0</v>
      </c>
    </row>
    <row r="981" spans="1:20" x14ac:dyDescent="0.25">
      <c r="A981" t="s">
        <v>35</v>
      </c>
      <c r="B981">
        <v>132</v>
      </c>
      <c r="C981">
        <v>415</v>
      </c>
      <c r="D981" t="s">
        <v>29</v>
      </c>
      <c r="E981" t="s">
        <v>29</v>
      </c>
      <c r="F981">
        <v>0</v>
      </c>
      <c r="G981">
        <v>117.6</v>
      </c>
      <c r="H981">
        <v>66</v>
      </c>
      <c r="I981">
        <v>19.989999999999998</v>
      </c>
      <c r="J981">
        <v>214</v>
      </c>
      <c r="K981">
        <v>108</v>
      </c>
      <c r="L981">
        <v>18.190000000000001</v>
      </c>
      <c r="M981">
        <v>239.5</v>
      </c>
      <c r="N981">
        <v>94</v>
      </c>
      <c r="O981">
        <v>10.78</v>
      </c>
      <c r="P981">
        <v>8.8000000000000007</v>
      </c>
      <c r="Q981">
        <v>5</v>
      </c>
      <c r="R981">
        <v>2.38</v>
      </c>
      <c r="S981">
        <v>1</v>
      </c>
      <c r="T981" t="b">
        <v>0</v>
      </c>
    </row>
    <row r="982" spans="1:20" x14ac:dyDescent="0.25">
      <c r="A982" t="s">
        <v>53</v>
      </c>
      <c r="B982">
        <v>58</v>
      </c>
      <c r="C982">
        <v>510</v>
      </c>
      <c r="D982" t="s">
        <v>29</v>
      </c>
      <c r="E982" t="s">
        <v>29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19.670000000000002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 x14ac:dyDescent="0.25">
      <c r="A983" t="s">
        <v>68</v>
      </c>
      <c r="B983">
        <v>81</v>
      </c>
      <c r="C983">
        <v>415</v>
      </c>
      <c r="D983" t="s">
        <v>29</v>
      </c>
      <c r="E983" t="s">
        <v>29</v>
      </c>
      <c r="F983">
        <v>0</v>
      </c>
      <c r="G983">
        <v>145.4</v>
      </c>
      <c r="H983">
        <v>132</v>
      </c>
      <c r="I983">
        <v>24.72</v>
      </c>
      <c r="J983">
        <v>129.30000000000001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 x14ac:dyDescent="0.25">
      <c r="A984" t="s">
        <v>44</v>
      </c>
      <c r="B984">
        <v>87</v>
      </c>
      <c r="C984">
        <v>415</v>
      </c>
      <c r="D984" t="s">
        <v>29</v>
      </c>
      <c r="E984" t="s">
        <v>29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 x14ac:dyDescent="0.25">
      <c r="A985" t="s">
        <v>72</v>
      </c>
      <c r="B985">
        <v>116</v>
      </c>
      <c r="C985">
        <v>510</v>
      </c>
      <c r="D985" t="s">
        <v>29</v>
      </c>
      <c r="E985" t="s">
        <v>29</v>
      </c>
      <c r="F985">
        <v>0</v>
      </c>
      <c r="G985">
        <v>229.3</v>
      </c>
      <c r="H985">
        <v>93</v>
      </c>
      <c r="I985">
        <v>38.979999999999997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8.8000000000000007</v>
      </c>
      <c r="Q985">
        <v>3</v>
      </c>
      <c r="R985">
        <v>2.38</v>
      </c>
      <c r="S985">
        <v>2</v>
      </c>
      <c r="T985" t="b">
        <v>0</v>
      </c>
    </row>
    <row r="986" spans="1:20" x14ac:dyDescent="0.25">
      <c r="A986" t="s">
        <v>66</v>
      </c>
      <c r="B986">
        <v>62</v>
      </c>
      <c r="C986">
        <v>510</v>
      </c>
      <c r="D986" t="s">
        <v>29</v>
      </c>
      <c r="E986" t="s">
        <v>30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 x14ac:dyDescent="0.25">
      <c r="A987" t="s">
        <v>76</v>
      </c>
      <c r="B987">
        <v>98</v>
      </c>
      <c r="C987">
        <v>415</v>
      </c>
      <c r="D987" t="s">
        <v>29</v>
      </c>
      <c r="E987" t="s">
        <v>29</v>
      </c>
      <c r="F987">
        <v>0</v>
      </c>
      <c r="G987">
        <v>162.80000000000001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9.8800000000000008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 x14ac:dyDescent="0.25">
      <c r="A988" t="s">
        <v>38</v>
      </c>
      <c r="B988">
        <v>107</v>
      </c>
      <c r="C988">
        <v>510</v>
      </c>
      <c r="D988" t="s">
        <v>30</v>
      </c>
      <c r="E988" t="s">
        <v>29</v>
      </c>
      <c r="F988">
        <v>0</v>
      </c>
      <c r="G988">
        <v>194.4</v>
      </c>
      <c r="H988">
        <v>83</v>
      </c>
      <c r="I988">
        <v>33.049999999999997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 x14ac:dyDescent="0.25">
      <c r="A989" t="s">
        <v>64</v>
      </c>
      <c r="B989">
        <v>30</v>
      </c>
      <c r="C989">
        <v>510</v>
      </c>
      <c r="D989" t="s">
        <v>29</v>
      </c>
      <c r="E989" t="s">
        <v>29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8.8699999999999992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 x14ac:dyDescent="0.25">
      <c r="A990" t="s">
        <v>35</v>
      </c>
      <c r="B990">
        <v>40</v>
      </c>
      <c r="C990">
        <v>408</v>
      </c>
      <c r="D990" t="s">
        <v>29</v>
      </c>
      <c r="E990" t="s">
        <v>30</v>
      </c>
      <c r="F990">
        <v>31</v>
      </c>
      <c r="G990">
        <v>224.7</v>
      </c>
      <c r="H990">
        <v>69</v>
      </c>
      <c r="I990">
        <v>38.200000000000003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2.0299999999999998</v>
      </c>
      <c r="S990">
        <v>1</v>
      </c>
      <c r="T990" t="b">
        <v>1</v>
      </c>
    </row>
    <row r="991" spans="1:20" x14ac:dyDescent="0.25">
      <c r="A991" t="s">
        <v>76</v>
      </c>
      <c r="B991">
        <v>72</v>
      </c>
      <c r="C991">
        <v>408</v>
      </c>
      <c r="D991" t="s">
        <v>29</v>
      </c>
      <c r="E991" t="s">
        <v>29</v>
      </c>
      <c r="F991">
        <v>0</v>
      </c>
      <c r="G991">
        <v>147</v>
      </c>
      <c r="H991">
        <v>79</v>
      </c>
      <c r="I991">
        <v>24.99</v>
      </c>
      <c r="J991">
        <v>162.30000000000001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 x14ac:dyDescent="0.25">
      <c r="A992" t="s">
        <v>49</v>
      </c>
      <c r="B992">
        <v>95</v>
      </c>
      <c r="C992">
        <v>415</v>
      </c>
      <c r="D992" t="s">
        <v>29</v>
      </c>
      <c r="E992" t="s">
        <v>30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8.8000000000000007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 x14ac:dyDescent="0.25">
      <c r="A993" t="s">
        <v>39</v>
      </c>
      <c r="B993">
        <v>42</v>
      </c>
      <c r="C993">
        <v>415</v>
      </c>
      <c r="D993" t="s">
        <v>29</v>
      </c>
      <c r="E993" t="s">
        <v>29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157.69999999999999</v>
      </c>
      <c r="N993">
        <v>128</v>
      </c>
      <c r="O993">
        <v>7.1</v>
      </c>
      <c r="P993">
        <v>9</v>
      </c>
      <c r="Q993">
        <v>3</v>
      </c>
      <c r="R993">
        <v>2.4300000000000002</v>
      </c>
      <c r="S993">
        <v>0</v>
      </c>
      <c r="T993" t="b">
        <v>0</v>
      </c>
    </row>
    <row r="994" spans="1:20" x14ac:dyDescent="0.25">
      <c r="A994" t="s">
        <v>60</v>
      </c>
      <c r="B994">
        <v>86</v>
      </c>
      <c r="C994">
        <v>415</v>
      </c>
      <c r="D994" t="s">
        <v>29</v>
      </c>
      <c r="E994" t="s">
        <v>29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 x14ac:dyDescent="0.25">
      <c r="A995" t="s">
        <v>45</v>
      </c>
      <c r="B995">
        <v>55</v>
      </c>
      <c r="C995">
        <v>510</v>
      </c>
      <c r="D995" t="s">
        <v>29</v>
      </c>
      <c r="E995" t="s">
        <v>30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 x14ac:dyDescent="0.25">
      <c r="A996" t="s">
        <v>40</v>
      </c>
      <c r="B996">
        <v>74</v>
      </c>
      <c r="C996">
        <v>415</v>
      </c>
      <c r="D996" t="s">
        <v>29</v>
      </c>
      <c r="E996" t="s">
        <v>29</v>
      </c>
      <c r="F996">
        <v>0</v>
      </c>
      <c r="G996">
        <v>162.69999999999999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8.6999999999999993</v>
      </c>
      <c r="Q996">
        <v>6</v>
      </c>
      <c r="R996">
        <v>2.35</v>
      </c>
      <c r="S996">
        <v>0</v>
      </c>
      <c r="T996" t="b">
        <v>0</v>
      </c>
    </row>
    <row r="997" spans="1:20" x14ac:dyDescent="0.25">
      <c r="A997" t="s">
        <v>79</v>
      </c>
      <c r="B997">
        <v>81</v>
      </c>
      <c r="C997">
        <v>408</v>
      </c>
      <c r="D997" t="s">
        <v>30</v>
      </c>
      <c r="E997" t="s">
        <v>30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 x14ac:dyDescent="0.25">
      <c r="A998" t="s">
        <v>74</v>
      </c>
      <c r="B998">
        <v>81</v>
      </c>
      <c r="C998">
        <v>408</v>
      </c>
      <c r="D998" t="s">
        <v>29</v>
      </c>
      <c r="E998" t="s">
        <v>29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 x14ac:dyDescent="0.25">
      <c r="A999" t="s">
        <v>40</v>
      </c>
      <c r="B999">
        <v>28</v>
      </c>
      <c r="C999">
        <v>415</v>
      </c>
      <c r="D999" t="s">
        <v>29</v>
      </c>
      <c r="E999" t="s">
        <v>29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261.60000000000002</v>
      </c>
      <c r="N999">
        <v>122</v>
      </c>
      <c r="O999">
        <v>11.77</v>
      </c>
      <c r="P999">
        <v>8.3000000000000007</v>
      </c>
      <c r="Q999">
        <v>2</v>
      </c>
      <c r="R999">
        <v>2.2400000000000002</v>
      </c>
      <c r="S999">
        <v>6</v>
      </c>
      <c r="T999" t="b">
        <v>1</v>
      </c>
    </row>
    <row r="1000" spans="1:20" x14ac:dyDescent="0.25">
      <c r="A1000" t="s">
        <v>34</v>
      </c>
      <c r="B1000">
        <v>111</v>
      </c>
      <c r="C1000">
        <v>510</v>
      </c>
      <c r="D1000" t="s">
        <v>29</v>
      </c>
      <c r="E1000" t="s">
        <v>29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 x14ac:dyDescent="0.25">
      <c r="A1001" t="s">
        <v>68</v>
      </c>
      <c r="B1001">
        <v>3</v>
      </c>
      <c r="C1001">
        <v>510</v>
      </c>
      <c r="D1001" t="s">
        <v>29</v>
      </c>
      <c r="E1001" t="s">
        <v>30</v>
      </c>
      <c r="F1001">
        <v>27</v>
      </c>
      <c r="G1001">
        <v>67.400000000000006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281.10000000000002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 x14ac:dyDescent="0.25">
      <c r="A1002" t="s">
        <v>45</v>
      </c>
      <c r="B1002">
        <v>68</v>
      </c>
      <c r="C1002">
        <v>415</v>
      </c>
      <c r="D1002" t="s">
        <v>29</v>
      </c>
      <c r="E1002" t="s">
        <v>30</v>
      </c>
      <c r="F1002">
        <v>24</v>
      </c>
      <c r="G1002">
        <v>176</v>
      </c>
      <c r="H1002">
        <v>118</v>
      </c>
      <c r="I1002">
        <v>29.92</v>
      </c>
      <c r="J1002">
        <v>277.89999999999998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 x14ac:dyDescent="0.25">
      <c r="A1003" t="s">
        <v>70</v>
      </c>
      <c r="B1003">
        <v>163</v>
      </c>
      <c r="C1003">
        <v>408</v>
      </c>
      <c r="D1003" t="s">
        <v>29</v>
      </c>
      <c r="E1003" t="s">
        <v>29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 x14ac:dyDescent="0.25">
      <c r="A1004" t="s">
        <v>28</v>
      </c>
      <c r="B1004">
        <v>87</v>
      </c>
      <c r="C1004">
        <v>510</v>
      </c>
      <c r="D1004" t="s">
        <v>29</v>
      </c>
      <c r="E1004" t="s">
        <v>29</v>
      </c>
      <c r="F1004">
        <v>0</v>
      </c>
      <c r="G1004">
        <v>115.4</v>
      </c>
      <c r="H1004">
        <v>90</v>
      </c>
      <c r="I1004">
        <v>19.62</v>
      </c>
      <c r="J1004">
        <v>262.60000000000002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 x14ac:dyDescent="0.25">
      <c r="A1005" t="s">
        <v>64</v>
      </c>
      <c r="B1005">
        <v>58</v>
      </c>
      <c r="C1005">
        <v>510</v>
      </c>
      <c r="D1005" t="s">
        <v>29</v>
      </c>
      <c r="E1005" t="s">
        <v>29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260.89999999999998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 x14ac:dyDescent="0.25">
      <c r="A1006" t="s">
        <v>66</v>
      </c>
      <c r="B1006">
        <v>109</v>
      </c>
      <c r="C1006">
        <v>408</v>
      </c>
      <c r="D1006" t="s">
        <v>29</v>
      </c>
      <c r="E1006" t="s">
        <v>29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 x14ac:dyDescent="0.25">
      <c r="A1007" t="s">
        <v>38</v>
      </c>
      <c r="B1007">
        <v>111</v>
      </c>
      <c r="C1007">
        <v>415</v>
      </c>
      <c r="D1007" t="s">
        <v>29</v>
      </c>
      <c r="E1007" t="s">
        <v>29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289.60000000000002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 x14ac:dyDescent="0.25">
      <c r="A1008" t="s">
        <v>61</v>
      </c>
      <c r="B1008">
        <v>144</v>
      </c>
      <c r="C1008">
        <v>415</v>
      </c>
      <c r="D1008" t="s">
        <v>29</v>
      </c>
      <c r="E1008" t="s">
        <v>29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 x14ac:dyDescent="0.25">
      <c r="A1009" t="s">
        <v>58</v>
      </c>
      <c r="B1009">
        <v>135</v>
      </c>
      <c r="C1009">
        <v>415</v>
      </c>
      <c r="D1009" t="s">
        <v>29</v>
      </c>
      <c r="E1009" t="s">
        <v>29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 x14ac:dyDescent="0.25">
      <c r="A1010" t="s">
        <v>75</v>
      </c>
      <c r="B1010">
        <v>109</v>
      </c>
      <c r="C1010">
        <v>415</v>
      </c>
      <c r="D1010" t="s">
        <v>29</v>
      </c>
      <c r="E1010" t="s">
        <v>30</v>
      </c>
      <c r="F1010">
        <v>46</v>
      </c>
      <c r="G1010">
        <v>217.5</v>
      </c>
      <c r="H1010">
        <v>123</v>
      </c>
      <c r="I1010">
        <v>36.979999999999997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2.4300000000000002</v>
      </c>
      <c r="S1010">
        <v>4</v>
      </c>
      <c r="T1010" t="b">
        <v>0</v>
      </c>
    </row>
    <row r="1011" spans="1:20" x14ac:dyDescent="0.25">
      <c r="A1011" t="s">
        <v>50</v>
      </c>
      <c r="B1011">
        <v>107</v>
      </c>
      <c r="C1011">
        <v>415</v>
      </c>
      <c r="D1011" t="s">
        <v>29</v>
      </c>
      <c r="E1011" t="s">
        <v>30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2.0299999999999998</v>
      </c>
      <c r="S1011">
        <v>1</v>
      </c>
      <c r="T1011" t="b">
        <v>0</v>
      </c>
    </row>
    <row r="1012" spans="1:20" x14ac:dyDescent="0.25">
      <c r="A1012" t="s">
        <v>31</v>
      </c>
      <c r="B1012">
        <v>149</v>
      </c>
      <c r="C1012">
        <v>408</v>
      </c>
      <c r="D1012" t="s">
        <v>29</v>
      </c>
      <c r="E1012" t="s">
        <v>29</v>
      </c>
      <c r="F1012">
        <v>0</v>
      </c>
      <c r="G1012">
        <v>196.3</v>
      </c>
      <c r="H1012">
        <v>108</v>
      </c>
      <c r="I1012">
        <v>33.369999999999997</v>
      </c>
      <c r="J1012">
        <v>136.80000000000001</v>
      </c>
      <c r="K1012">
        <v>96</v>
      </c>
      <c r="L1012">
        <v>11.63</v>
      </c>
      <c r="M1012">
        <v>154.69999999999999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 x14ac:dyDescent="0.25">
      <c r="A1013" t="s">
        <v>35</v>
      </c>
      <c r="B1013">
        <v>56</v>
      </c>
      <c r="C1013">
        <v>510</v>
      </c>
      <c r="D1013" t="s">
        <v>29</v>
      </c>
      <c r="E1013" t="s">
        <v>29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4.4000000000000004</v>
      </c>
      <c r="Q1013">
        <v>4</v>
      </c>
      <c r="R1013">
        <v>1.19</v>
      </c>
      <c r="S1013">
        <v>1</v>
      </c>
      <c r="T1013" t="b">
        <v>0</v>
      </c>
    </row>
    <row r="1014" spans="1:20" x14ac:dyDescent="0.25">
      <c r="A1014" t="s">
        <v>58</v>
      </c>
      <c r="B1014">
        <v>129</v>
      </c>
      <c r="C1014">
        <v>408</v>
      </c>
      <c r="D1014" t="s">
        <v>29</v>
      </c>
      <c r="E1014" t="s">
        <v>29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 x14ac:dyDescent="0.25">
      <c r="A1015" t="s">
        <v>62</v>
      </c>
      <c r="B1015">
        <v>92</v>
      </c>
      <c r="C1015">
        <v>408</v>
      </c>
      <c r="D1015" t="s">
        <v>29</v>
      </c>
      <c r="E1015" t="s">
        <v>29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 x14ac:dyDescent="0.25">
      <c r="A1016" t="s">
        <v>37</v>
      </c>
      <c r="B1016">
        <v>67</v>
      </c>
      <c r="C1016">
        <v>415</v>
      </c>
      <c r="D1016" t="s">
        <v>29</v>
      </c>
      <c r="E1016" t="s">
        <v>30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19.809999999999999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 x14ac:dyDescent="0.25">
      <c r="A1017" t="s">
        <v>42</v>
      </c>
      <c r="B1017">
        <v>120</v>
      </c>
      <c r="C1017">
        <v>415</v>
      </c>
      <c r="D1017" t="s">
        <v>29</v>
      </c>
      <c r="E1017" t="s">
        <v>29</v>
      </c>
      <c r="F1017">
        <v>0</v>
      </c>
      <c r="G1017">
        <v>221.3</v>
      </c>
      <c r="H1017">
        <v>106</v>
      </c>
      <c r="I1017">
        <v>37.619999999999997</v>
      </c>
      <c r="J1017">
        <v>267.60000000000002</v>
      </c>
      <c r="K1017">
        <v>98</v>
      </c>
      <c r="L1017">
        <v>22.75</v>
      </c>
      <c r="M1017">
        <v>111.5</v>
      </c>
      <c r="N1017">
        <v>80</v>
      </c>
      <c r="O1017">
        <v>5.0199999999999996</v>
      </c>
      <c r="P1017">
        <v>9.3000000000000007</v>
      </c>
      <c r="Q1017">
        <v>7</v>
      </c>
      <c r="R1017">
        <v>2.5099999999999998</v>
      </c>
      <c r="S1017">
        <v>0</v>
      </c>
      <c r="T1017" t="b">
        <v>0</v>
      </c>
    </row>
    <row r="1018" spans="1:20" x14ac:dyDescent="0.25">
      <c r="A1018" t="s">
        <v>53</v>
      </c>
      <c r="B1018">
        <v>76</v>
      </c>
      <c r="C1018">
        <v>408</v>
      </c>
      <c r="D1018" t="s">
        <v>29</v>
      </c>
      <c r="E1018" t="s">
        <v>29</v>
      </c>
      <c r="F1018">
        <v>0</v>
      </c>
      <c r="G1018">
        <v>203.6</v>
      </c>
      <c r="H1018">
        <v>61</v>
      </c>
      <c r="I1018">
        <v>34.61</v>
      </c>
      <c r="J1018">
        <v>161.69999999999999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 x14ac:dyDescent="0.25">
      <c r="A1019" t="s">
        <v>72</v>
      </c>
      <c r="B1019">
        <v>79</v>
      </c>
      <c r="C1019">
        <v>415</v>
      </c>
      <c r="D1019" t="s">
        <v>29</v>
      </c>
      <c r="E1019" t="s">
        <v>29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8.8000000000000007</v>
      </c>
      <c r="Q1019">
        <v>3</v>
      </c>
      <c r="R1019">
        <v>2.38</v>
      </c>
      <c r="S1019">
        <v>2</v>
      </c>
      <c r="T1019" t="b">
        <v>0</v>
      </c>
    </row>
    <row r="1020" spans="1:20" x14ac:dyDescent="0.25">
      <c r="A1020" t="s">
        <v>78</v>
      </c>
      <c r="B1020">
        <v>98</v>
      </c>
      <c r="C1020">
        <v>415</v>
      </c>
      <c r="D1020" t="s">
        <v>29</v>
      </c>
      <c r="E1020" t="s">
        <v>30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18.760000000000002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 x14ac:dyDescent="0.25">
      <c r="A1021" t="s">
        <v>47</v>
      </c>
      <c r="B1021">
        <v>141</v>
      </c>
      <c r="C1021">
        <v>510</v>
      </c>
      <c r="D1021" t="s">
        <v>29</v>
      </c>
      <c r="E1021" t="s">
        <v>30</v>
      </c>
      <c r="F1021">
        <v>22</v>
      </c>
      <c r="G1021">
        <v>215.4</v>
      </c>
      <c r="H1021">
        <v>123</v>
      </c>
      <c r="I1021">
        <v>36.619999999999997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 x14ac:dyDescent="0.25">
      <c r="A1022" t="s">
        <v>39</v>
      </c>
      <c r="B1022">
        <v>46</v>
      </c>
      <c r="C1022">
        <v>510</v>
      </c>
      <c r="D1022" t="s">
        <v>29</v>
      </c>
      <c r="E1022" t="s">
        <v>29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10.199999999999999</v>
      </c>
      <c r="Q1022">
        <v>2</v>
      </c>
      <c r="R1022">
        <v>2.75</v>
      </c>
      <c r="S1022">
        <v>3</v>
      </c>
      <c r="T1022" t="b">
        <v>0</v>
      </c>
    </row>
    <row r="1023" spans="1:20" x14ac:dyDescent="0.25">
      <c r="A1023" t="s">
        <v>80</v>
      </c>
      <c r="B1023">
        <v>137</v>
      </c>
      <c r="C1023">
        <v>415</v>
      </c>
      <c r="D1023" t="s">
        <v>29</v>
      </c>
      <c r="E1023" t="s">
        <v>29</v>
      </c>
      <c r="F1023">
        <v>0</v>
      </c>
      <c r="G1023">
        <v>115</v>
      </c>
      <c r="H1023">
        <v>130</v>
      </c>
      <c r="I1023">
        <v>19.55</v>
      </c>
      <c r="J1023">
        <v>137.80000000000001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 x14ac:dyDescent="0.25">
      <c r="A1024" t="s">
        <v>65</v>
      </c>
      <c r="B1024">
        <v>171</v>
      </c>
      <c r="C1024">
        <v>408</v>
      </c>
      <c r="D1024" t="s">
        <v>29</v>
      </c>
      <c r="E1024" t="s">
        <v>29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 x14ac:dyDescent="0.25">
      <c r="A1025" t="s">
        <v>43</v>
      </c>
      <c r="B1025">
        <v>10</v>
      </c>
      <c r="C1025">
        <v>415</v>
      </c>
      <c r="D1025" t="s">
        <v>29</v>
      </c>
      <c r="E1025" t="s">
        <v>29</v>
      </c>
      <c r="F1025">
        <v>0</v>
      </c>
      <c r="G1025">
        <v>222.2</v>
      </c>
      <c r="H1025">
        <v>127</v>
      </c>
      <c r="I1025">
        <v>37.770000000000003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 x14ac:dyDescent="0.25">
      <c r="A1026" t="s">
        <v>46</v>
      </c>
      <c r="B1026">
        <v>88</v>
      </c>
      <c r="C1026">
        <v>510</v>
      </c>
      <c r="D1026" t="s">
        <v>29</v>
      </c>
      <c r="E1026" t="s">
        <v>29</v>
      </c>
      <c r="F1026">
        <v>0</v>
      </c>
      <c r="G1026">
        <v>61.9</v>
      </c>
      <c r="H1026">
        <v>78</v>
      </c>
      <c r="I1026">
        <v>10.52</v>
      </c>
      <c r="J1026">
        <v>262.60000000000002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8.8000000000000007</v>
      </c>
      <c r="Q1026">
        <v>2</v>
      </c>
      <c r="R1026">
        <v>2.38</v>
      </c>
      <c r="S1026">
        <v>3</v>
      </c>
      <c r="T1026" t="b">
        <v>0</v>
      </c>
    </row>
    <row r="1027" spans="1:20" x14ac:dyDescent="0.25">
      <c r="A1027" t="s">
        <v>44</v>
      </c>
      <c r="B1027">
        <v>82</v>
      </c>
      <c r="C1027">
        <v>415</v>
      </c>
      <c r="D1027" t="s">
        <v>29</v>
      </c>
      <c r="E1027" t="s">
        <v>29</v>
      </c>
      <c r="F1027">
        <v>0</v>
      </c>
      <c r="G1027">
        <v>189.2</v>
      </c>
      <c r="H1027">
        <v>81</v>
      </c>
      <c r="I1027">
        <v>32.159999999999997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 x14ac:dyDescent="0.25">
      <c r="A1028" t="s">
        <v>63</v>
      </c>
      <c r="B1028">
        <v>139</v>
      </c>
      <c r="C1028">
        <v>510</v>
      </c>
      <c r="D1028" t="s">
        <v>29</v>
      </c>
      <c r="E1028" t="s">
        <v>29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9.8000000000000007</v>
      </c>
      <c r="Q1028">
        <v>1</v>
      </c>
      <c r="R1028">
        <v>2.65</v>
      </c>
      <c r="S1028">
        <v>3</v>
      </c>
      <c r="T1028" t="b">
        <v>0</v>
      </c>
    </row>
    <row r="1029" spans="1:20" x14ac:dyDescent="0.25">
      <c r="A1029" t="s">
        <v>43</v>
      </c>
      <c r="B1029">
        <v>87</v>
      </c>
      <c r="C1029">
        <v>415</v>
      </c>
      <c r="D1029" t="s">
        <v>29</v>
      </c>
      <c r="E1029" t="s">
        <v>29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 x14ac:dyDescent="0.25">
      <c r="A1030" t="s">
        <v>70</v>
      </c>
      <c r="B1030">
        <v>137</v>
      </c>
      <c r="C1030">
        <v>415</v>
      </c>
      <c r="D1030" t="s">
        <v>30</v>
      </c>
      <c r="E1030" t="s">
        <v>29</v>
      </c>
      <c r="F1030">
        <v>0</v>
      </c>
      <c r="G1030">
        <v>174</v>
      </c>
      <c r="H1030">
        <v>123</v>
      </c>
      <c r="I1030">
        <v>29.58</v>
      </c>
      <c r="J1030">
        <v>161.30000000000001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 x14ac:dyDescent="0.25">
      <c r="A1031" t="s">
        <v>65</v>
      </c>
      <c r="B1031">
        <v>45</v>
      </c>
      <c r="C1031">
        <v>510</v>
      </c>
      <c r="D1031" t="s">
        <v>29</v>
      </c>
      <c r="E1031" t="s">
        <v>29</v>
      </c>
      <c r="F1031">
        <v>0</v>
      </c>
      <c r="G1031">
        <v>78.599999999999994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8.2899999999999991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 x14ac:dyDescent="0.25">
      <c r="A1032" t="s">
        <v>76</v>
      </c>
      <c r="B1032">
        <v>103</v>
      </c>
      <c r="C1032">
        <v>415</v>
      </c>
      <c r="D1032" t="s">
        <v>29</v>
      </c>
      <c r="E1032" t="s">
        <v>29</v>
      </c>
      <c r="F1032">
        <v>0</v>
      </c>
      <c r="G1032">
        <v>141.30000000000001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9.7100000000000009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 x14ac:dyDescent="0.25">
      <c r="A1033" t="s">
        <v>80</v>
      </c>
      <c r="B1033">
        <v>100</v>
      </c>
      <c r="C1033">
        <v>415</v>
      </c>
      <c r="D1033" t="s">
        <v>29</v>
      </c>
      <c r="E1033" t="s">
        <v>29</v>
      </c>
      <c r="F1033">
        <v>0</v>
      </c>
      <c r="G1033">
        <v>235.8</v>
      </c>
      <c r="H1033">
        <v>130</v>
      </c>
      <c r="I1033">
        <v>40.090000000000003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 x14ac:dyDescent="0.25">
      <c r="A1034" t="s">
        <v>65</v>
      </c>
      <c r="B1034">
        <v>110</v>
      </c>
      <c r="C1034">
        <v>510</v>
      </c>
      <c r="D1034" t="s">
        <v>29</v>
      </c>
      <c r="E1034" t="s">
        <v>29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5.0199999999999996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 x14ac:dyDescent="0.25">
      <c r="A1035" t="s">
        <v>51</v>
      </c>
      <c r="B1035">
        <v>124</v>
      </c>
      <c r="C1035">
        <v>415</v>
      </c>
      <c r="D1035" t="s">
        <v>29</v>
      </c>
      <c r="E1035" t="s">
        <v>29</v>
      </c>
      <c r="F1035">
        <v>0</v>
      </c>
      <c r="G1035">
        <v>254.3</v>
      </c>
      <c r="H1035">
        <v>113</v>
      </c>
      <c r="I1035">
        <v>43.23</v>
      </c>
      <c r="J1035">
        <v>78.900000000000006</v>
      </c>
      <c r="K1035">
        <v>104</v>
      </c>
      <c r="L1035">
        <v>6.71</v>
      </c>
      <c r="M1035">
        <v>153.19999999999999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 x14ac:dyDescent="0.25">
      <c r="A1036" t="s">
        <v>40</v>
      </c>
      <c r="B1036">
        <v>10</v>
      </c>
      <c r="C1036">
        <v>510</v>
      </c>
      <c r="D1036" t="s">
        <v>29</v>
      </c>
      <c r="E1036" t="s">
        <v>29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18.260000000000002</v>
      </c>
      <c r="M1036">
        <v>206.4</v>
      </c>
      <c r="N1036">
        <v>73</v>
      </c>
      <c r="O1036">
        <v>9.2899999999999991</v>
      </c>
      <c r="P1036">
        <v>8.6999999999999993</v>
      </c>
      <c r="Q1036">
        <v>6</v>
      </c>
      <c r="R1036">
        <v>2.35</v>
      </c>
      <c r="S1036">
        <v>2</v>
      </c>
      <c r="T1036" t="b">
        <v>0</v>
      </c>
    </row>
    <row r="1037" spans="1:20" x14ac:dyDescent="0.25">
      <c r="A1037" t="s">
        <v>48</v>
      </c>
      <c r="B1037">
        <v>89</v>
      </c>
      <c r="C1037">
        <v>415</v>
      </c>
      <c r="D1037" t="s">
        <v>29</v>
      </c>
      <c r="E1037" t="s">
        <v>30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17.190000000000001</v>
      </c>
      <c r="P1037">
        <v>7.5</v>
      </c>
      <c r="Q1037">
        <v>5</v>
      </c>
      <c r="R1037">
        <v>2.0299999999999998</v>
      </c>
      <c r="S1037">
        <v>2</v>
      </c>
      <c r="T1037" t="b">
        <v>0</v>
      </c>
    </row>
    <row r="1038" spans="1:20" x14ac:dyDescent="0.25">
      <c r="A1038" t="s">
        <v>65</v>
      </c>
      <c r="B1038">
        <v>121</v>
      </c>
      <c r="C1038">
        <v>408</v>
      </c>
      <c r="D1038" t="s">
        <v>29</v>
      </c>
      <c r="E1038" t="s">
        <v>29</v>
      </c>
      <c r="F1038">
        <v>0</v>
      </c>
      <c r="G1038">
        <v>207.9</v>
      </c>
      <c r="H1038">
        <v>98</v>
      </c>
      <c r="I1038">
        <v>35.340000000000003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 x14ac:dyDescent="0.25">
      <c r="A1039" t="s">
        <v>57</v>
      </c>
      <c r="B1039">
        <v>101</v>
      </c>
      <c r="C1039">
        <v>415</v>
      </c>
      <c r="D1039" t="s">
        <v>29</v>
      </c>
      <c r="E1039" t="s">
        <v>29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 x14ac:dyDescent="0.25">
      <c r="A1040" t="s">
        <v>56</v>
      </c>
      <c r="B1040">
        <v>103</v>
      </c>
      <c r="C1040">
        <v>415</v>
      </c>
      <c r="D1040" t="s">
        <v>29</v>
      </c>
      <c r="E1040" t="s">
        <v>30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 x14ac:dyDescent="0.25">
      <c r="A1041" t="s">
        <v>57</v>
      </c>
      <c r="B1041">
        <v>51</v>
      </c>
      <c r="C1041">
        <v>408</v>
      </c>
      <c r="D1041" t="s">
        <v>29</v>
      </c>
      <c r="E1041" t="s">
        <v>29</v>
      </c>
      <c r="F1041">
        <v>0</v>
      </c>
      <c r="G1041">
        <v>197.8</v>
      </c>
      <c r="H1041">
        <v>60</v>
      </c>
      <c r="I1041">
        <v>33.630000000000003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 x14ac:dyDescent="0.25">
      <c r="A1042" t="s">
        <v>59</v>
      </c>
      <c r="B1042">
        <v>2</v>
      </c>
      <c r="C1042">
        <v>415</v>
      </c>
      <c r="D1042" t="s">
        <v>30</v>
      </c>
      <c r="E1042" t="s">
        <v>29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 x14ac:dyDescent="0.25">
      <c r="A1043" t="s">
        <v>51</v>
      </c>
      <c r="B1043">
        <v>111</v>
      </c>
      <c r="C1043">
        <v>510</v>
      </c>
      <c r="D1043" t="s">
        <v>29</v>
      </c>
      <c r="E1043" t="s">
        <v>29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9.6300000000000008</v>
      </c>
      <c r="P1043">
        <v>9.3000000000000007</v>
      </c>
      <c r="Q1043">
        <v>11</v>
      </c>
      <c r="R1043">
        <v>2.5099999999999998</v>
      </c>
      <c r="S1043">
        <v>0</v>
      </c>
      <c r="T1043" t="b">
        <v>0</v>
      </c>
    </row>
    <row r="1044" spans="1:20" x14ac:dyDescent="0.25">
      <c r="A1044" t="s">
        <v>43</v>
      </c>
      <c r="B1044">
        <v>118</v>
      </c>
      <c r="C1044">
        <v>415</v>
      </c>
      <c r="D1044" t="s">
        <v>29</v>
      </c>
      <c r="E1044" t="s">
        <v>29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9.7799999999999994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 x14ac:dyDescent="0.25">
      <c r="A1045" t="s">
        <v>76</v>
      </c>
      <c r="B1045">
        <v>17</v>
      </c>
      <c r="C1045">
        <v>510</v>
      </c>
      <c r="D1045" t="s">
        <v>29</v>
      </c>
      <c r="E1045" t="s">
        <v>30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 x14ac:dyDescent="0.25">
      <c r="A1046" t="s">
        <v>43</v>
      </c>
      <c r="B1046">
        <v>130</v>
      </c>
      <c r="C1046">
        <v>408</v>
      </c>
      <c r="D1046" t="s">
        <v>29</v>
      </c>
      <c r="E1046" t="s">
        <v>29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 x14ac:dyDescent="0.25">
      <c r="A1047" t="s">
        <v>47</v>
      </c>
      <c r="B1047">
        <v>137</v>
      </c>
      <c r="C1047">
        <v>415</v>
      </c>
      <c r="D1047" t="s">
        <v>29</v>
      </c>
      <c r="E1047" t="s">
        <v>29</v>
      </c>
      <c r="F1047">
        <v>0</v>
      </c>
      <c r="G1047">
        <v>141.1</v>
      </c>
      <c r="H1047">
        <v>91</v>
      </c>
      <c r="I1047">
        <v>23.99</v>
      </c>
      <c r="J1047">
        <v>147.19999999999999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 x14ac:dyDescent="0.25">
      <c r="A1048" t="s">
        <v>40</v>
      </c>
      <c r="B1048">
        <v>185</v>
      </c>
      <c r="C1048">
        <v>408</v>
      </c>
      <c r="D1048" t="s">
        <v>29</v>
      </c>
      <c r="E1048" t="s">
        <v>30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 x14ac:dyDescent="0.25">
      <c r="A1049" t="s">
        <v>33</v>
      </c>
      <c r="B1049">
        <v>101</v>
      </c>
      <c r="C1049">
        <v>408</v>
      </c>
      <c r="D1049" t="s">
        <v>29</v>
      </c>
      <c r="E1049" t="s">
        <v>29</v>
      </c>
      <c r="F1049">
        <v>0</v>
      </c>
      <c r="G1049">
        <v>209.6</v>
      </c>
      <c r="H1049">
        <v>107</v>
      </c>
      <c r="I1049">
        <v>35.630000000000003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2.0499999999999998</v>
      </c>
      <c r="S1049">
        <v>3</v>
      </c>
      <c r="T1049" t="b">
        <v>0</v>
      </c>
    </row>
    <row r="1050" spans="1:20" x14ac:dyDescent="0.25">
      <c r="A1050" t="s">
        <v>41</v>
      </c>
      <c r="B1050">
        <v>95</v>
      </c>
      <c r="C1050">
        <v>415</v>
      </c>
      <c r="D1050" t="s">
        <v>29</v>
      </c>
      <c r="E1050" t="s">
        <v>30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 x14ac:dyDescent="0.25">
      <c r="A1051" t="s">
        <v>28</v>
      </c>
      <c r="B1051">
        <v>126</v>
      </c>
      <c r="C1051">
        <v>408</v>
      </c>
      <c r="D1051" t="s">
        <v>29</v>
      </c>
      <c r="E1051" t="s">
        <v>29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8.7100000000000009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 x14ac:dyDescent="0.25">
      <c r="A1052" t="s">
        <v>73</v>
      </c>
      <c r="B1052">
        <v>124</v>
      </c>
      <c r="C1052">
        <v>415</v>
      </c>
      <c r="D1052" t="s">
        <v>29</v>
      </c>
      <c r="E1052" t="s">
        <v>29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8.3699999999999992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 x14ac:dyDescent="0.25">
      <c r="A1053" t="s">
        <v>49</v>
      </c>
      <c r="B1053">
        <v>97</v>
      </c>
      <c r="C1053">
        <v>510</v>
      </c>
      <c r="D1053" t="s">
        <v>30</v>
      </c>
      <c r="E1053" t="s">
        <v>29</v>
      </c>
      <c r="F1053">
        <v>0</v>
      </c>
      <c r="G1053">
        <v>236.9</v>
      </c>
      <c r="H1053">
        <v>107</v>
      </c>
      <c r="I1053">
        <v>40.270000000000003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 x14ac:dyDescent="0.25">
      <c r="A1054" t="s">
        <v>44</v>
      </c>
      <c r="B1054">
        <v>28</v>
      </c>
      <c r="C1054">
        <v>415</v>
      </c>
      <c r="D1054" t="s">
        <v>29</v>
      </c>
      <c r="E1054" t="s">
        <v>29</v>
      </c>
      <c r="F1054">
        <v>0</v>
      </c>
      <c r="G1054">
        <v>159.69999999999999</v>
      </c>
      <c r="H1054">
        <v>79</v>
      </c>
      <c r="I1054">
        <v>27.15</v>
      </c>
      <c r="J1054">
        <v>216.7</v>
      </c>
      <c r="K1054">
        <v>131</v>
      </c>
      <c r="L1054">
        <v>18.420000000000002</v>
      </c>
      <c r="M1054">
        <v>206.7</v>
      </c>
      <c r="N1054">
        <v>116</v>
      </c>
      <c r="O1054">
        <v>9.3000000000000007</v>
      </c>
      <c r="P1054">
        <v>9.3000000000000007</v>
      </c>
      <c r="Q1054">
        <v>3</v>
      </c>
      <c r="R1054">
        <v>2.5099999999999998</v>
      </c>
      <c r="S1054">
        <v>2</v>
      </c>
      <c r="T1054" t="b">
        <v>0</v>
      </c>
    </row>
    <row r="1055" spans="1:20" x14ac:dyDescent="0.25">
      <c r="A1055" t="s">
        <v>65</v>
      </c>
      <c r="B1055">
        <v>90</v>
      </c>
      <c r="C1055">
        <v>415</v>
      </c>
      <c r="D1055" t="s">
        <v>30</v>
      </c>
      <c r="E1055" t="s">
        <v>29</v>
      </c>
      <c r="F1055">
        <v>0</v>
      </c>
      <c r="G1055">
        <v>148.19999999999999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134.19999999999999</v>
      </c>
      <c r="N1055">
        <v>97</v>
      </c>
      <c r="O1055">
        <v>6.04</v>
      </c>
      <c r="P1055">
        <v>9.1999999999999993</v>
      </c>
      <c r="Q1055">
        <v>1</v>
      </c>
      <c r="R1055">
        <v>2.48</v>
      </c>
      <c r="S1055">
        <v>4</v>
      </c>
      <c r="T1055" t="b">
        <v>1</v>
      </c>
    </row>
    <row r="1056" spans="1:20" x14ac:dyDescent="0.25">
      <c r="A1056" t="s">
        <v>78</v>
      </c>
      <c r="B1056">
        <v>190</v>
      </c>
      <c r="C1056">
        <v>408</v>
      </c>
      <c r="D1056" t="s">
        <v>29</v>
      </c>
      <c r="E1056" t="s">
        <v>29</v>
      </c>
      <c r="F1056">
        <v>0</v>
      </c>
      <c r="G1056">
        <v>150.9</v>
      </c>
      <c r="H1056">
        <v>86</v>
      </c>
      <c r="I1056">
        <v>25.65</v>
      </c>
      <c r="J1056">
        <v>268.60000000000002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 x14ac:dyDescent="0.25">
      <c r="A1057" t="s">
        <v>54</v>
      </c>
      <c r="B1057">
        <v>52</v>
      </c>
      <c r="C1057">
        <v>415</v>
      </c>
      <c r="D1057" t="s">
        <v>29</v>
      </c>
      <c r="E1057" t="s">
        <v>30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4.0999999999999996</v>
      </c>
      <c r="Q1057">
        <v>5</v>
      </c>
      <c r="R1057">
        <v>1.1100000000000001</v>
      </c>
      <c r="S1057">
        <v>2</v>
      </c>
      <c r="T1057" t="b">
        <v>0</v>
      </c>
    </row>
    <row r="1058" spans="1:20" x14ac:dyDescent="0.25">
      <c r="A1058" t="s">
        <v>55</v>
      </c>
      <c r="B1058">
        <v>73</v>
      </c>
      <c r="C1058">
        <v>510</v>
      </c>
      <c r="D1058" t="s">
        <v>29</v>
      </c>
      <c r="E1058" t="s">
        <v>29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 x14ac:dyDescent="0.25">
      <c r="A1059" t="s">
        <v>63</v>
      </c>
      <c r="B1059">
        <v>98</v>
      </c>
      <c r="C1059">
        <v>415</v>
      </c>
      <c r="D1059" t="s">
        <v>29</v>
      </c>
      <c r="E1059" t="s">
        <v>29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 x14ac:dyDescent="0.25">
      <c r="A1060" t="s">
        <v>77</v>
      </c>
      <c r="B1060">
        <v>106</v>
      </c>
      <c r="C1060">
        <v>408</v>
      </c>
      <c r="D1060" t="s">
        <v>30</v>
      </c>
      <c r="E1060" t="s">
        <v>29</v>
      </c>
      <c r="F1060">
        <v>0</v>
      </c>
      <c r="G1060">
        <v>133.69999999999999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 x14ac:dyDescent="0.25">
      <c r="A1061" t="s">
        <v>64</v>
      </c>
      <c r="B1061">
        <v>111</v>
      </c>
      <c r="C1061">
        <v>408</v>
      </c>
      <c r="D1061" t="s">
        <v>29</v>
      </c>
      <c r="E1061" t="s">
        <v>29</v>
      </c>
      <c r="F1061">
        <v>0</v>
      </c>
      <c r="G1061">
        <v>224.9</v>
      </c>
      <c r="H1061">
        <v>117</v>
      </c>
      <c r="I1061">
        <v>38.229999999999997</v>
      </c>
      <c r="J1061">
        <v>191.9</v>
      </c>
      <c r="K1061">
        <v>127</v>
      </c>
      <c r="L1061">
        <v>16.309999999999999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 x14ac:dyDescent="0.25">
      <c r="A1062" t="s">
        <v>42</v>
      </c>
      <c r="B1062">
        <v>59</v>
      </c>
      <c r="C1062">
        <v>408</v>
      </c>
      <c r="D1062" t="s">
        <v>29</v>
      </c>
      <c r="E1062" t="s">
        <v>29</v>
      </c>
      <c r="F1062">
        <v>0</v>
      </c>
      <c r="G1062">
        <v>151.80000000000001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266.89999999999998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 x14ac:dyDescent="0.25">
      <c r="A1063" t="s">
        <v>71</v>
      </c>
      <c r="B1063">
        <v>71</v>
      </c>
      <c r="C1063">
        <v>510</v>
      </c>
      <c r="D1063" t="s">
        <v>29</v>
      </c>
      <c r="E1063" t="s">
        <v>30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 x14ac:dyDescent="0.25">
      <c r="A1064" t="s">
        <v>65</v>
      </c>
      <c r="B1064">
        <v>55</v>
      </c>
      <c r="C1064">
        <v>408</v>
      </c>
      <c r="D1064" t="s">
        <v>29</v>
      </c>
      <c r="E1064" t="s">
        <v>29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 x14ac:dyDescent="0.25">
      <c r="A1065" t="s">
        <v>52</v>
      </c>
      <c r="B1065">
        <v>13</v>
      </c>
      <c r="C1065">
        <v>415</v>
      </c>
      <c r="D1065" t="s">
        <v>29</v>
      </c>
      <c r="E1065" t="s">
        <v>29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 x14ac:dyDescent="0.25">
      <c r="A1066" t="s">
        <v>65</v>
      </c>
      <c r="B1066">
        <v>136</v>
      </c>
      <c r="C1066">
        <v>415</v>
      </c>
      <c r="D1066" t="s">
        <v>29</v>
      </c>
      <c r="E1066" t="s">
        <v>30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10.220000000000001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 x14ac:dyDescent="0.25">
      <c r="A1067" t="s">
        <v>72</v>
      </c>
      <c r="B1067">
        <v>123</v>
      </c>
      <c r="C1067">
        <v>408</v>
      </c>
      <c r="D1067" t="s">
        <v>29</v>
      </c>
      <c r="E1067" t="s">
        <v>29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 x14ac:dyDescent="0.25">
      <c r="A1068" t="s">
        <v>57</v>
      </c>
      <c r="B1068">
        <v>105</v>
      </c>
      <c r="C1068">
        <v>408</v>
      </c>
      <c r="D1068" t="s">
        <v>29</v>
      </c>
      <c r="E1068" t="s">
        <v>29</v>
      </c>
      <c r="F1068">
        <v>0</v>
      </c>
      <c r="G1068">
        <v>147.69999999999999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 x14ac:dyDescent="0.25">
      <c r="A1069" t="s">
        <v>44</v>
      </c>
      <c r="B1069">
        <v>50</v>
      </c>
      <c r="C1069">
        <v>408</v>
      </c>
      <c r="D1069" t="s">
        <v>29</v>
      </c>
      <c r="E1069" t="s">
        <v>30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20.440000000000001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 x14ac:dyDescent="0.25">
      <c r="A1070" t="s">
        <v>39</v>
      </c>
      <c r="B1070">
        <v>118</v>
      </c>
      <c r="C1070">
        <v>415</v>
      </c>
      <c r="D1070" t="s">
        <v>29</v>
      </c>
      <c r="E1070" t="s">
        <v>29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 x14ac:dyDescent="0.25">
      <c r="A1071" t="s">
        <v>42</v>
      </c>
      <c r="B1071">
        <v>73</v>
      </c>
      <c r="C1071">
        <v>415</v>
      </c>
      <c r="D1071" t="s">
        <v>29</v>
      </c>
      <c r="E1071" t="s">
        <v>29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 x14ac:dyDescent="0.25">
      <c r="A1072" t="s">
        <v>78</v>
      </c>
      <c r="B1072">
        <v>35</v>
      </c>
      <c r="C1072">
        <v>415</v>
      </c>
      <c r="D1072" t="s">
        <v>29</v>
      </c>
      <c r="E1072" t="s">
        <v>29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135.69999999999999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 x14ac:dyDescent="0.25">
      <c r="A1073" t="s">
        <v>49</v>
      </c>
      <c r="B1073">
        <v>64</v>
      </c>
      <c r="C1073">
        <v>415</v>
      </c>
      <c r="D1073" t="s">
        <v>29</v>
      </c>
      <c r="E1073" t="s">
        <v>29</v>
      </c>
      <c r="F1073">
        <v>0</v>
      </c>
      <c r="G1073">
        <v>206.2</v>
      </c>
      <c r="H1073">
        <v>76</v>
      </c>
      <c r="I1073">
        <v>35.049999999999997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 x14ac:dyDescent="0.25">
      <c r="A1074" t="s">
        <v>37</v>
      </c>
      <c r="B1074">
        <v>63</v>
      </c>
      <c r="C1074">
        <v>510</v>
      </c>
      <c r="D1074" t="s">
        <v>29</v>
      </c>
      <c r="E1074" t="s">
        <v>29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 x14ac:dyDescent="0.25">
      <c r="A1075" t="s">
        <v>33</v>
      </c>
      <c r="B1075">
        <v>117</v>
      </c>
      <c r="C1075">
        <v>415</v>
      </c>
      <c r="D1075" t="s">
        <v>29</v>
      </c>
      <c r="E1075" t="s">
        <v>30</v>
      </c>
      <c r="F1075">
        <v>31</v>
      </c>
      <c r="G1075">
        <v>104.9</v>
      </c>
      <c r="H1075">
        <v>115</v>
      </c>
      <c r="I1075">
        <v>17.829999999999998</v>
      </c>
      <c r="J1075">
        <v>237.6</v>
      </c>
      <c r="K1075">
        <v>125</v>
      </c>
      <c r="L1075">
        <v>20.2</v>
      </c>
      <c r="M1075">
        <v>263.39999999999998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 x14ac:dyDescent="0.25">
      <c r="A1076" t="s">
        <v>80</v>
      </c>
      <c r="B1076">
        <v>115</v>
      </c>
      <c r="C1076">
        <v>415</v>
      </c>
      <c r="D1076" t="s">
        <v>29</v>
      </c>
      <c r="E1076" t="s">
        <v>29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 x14ac:dyDescent="0.25">
      <c r="A1077" t="s">
        <v>61</v>
      </c>
      <c r="B1077">
        <v>162</v>
      </c>
      <c r="C1077">
        <v>408</v>
      </c>
      <c r="D1077" t="s">
        <v>29</v>
      </c>
      <c r="E1077" t="s">
        <v>29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8.1199999999999992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 x14ac:dyDescent="0.25">
      <c r="A1078" t="s">
        <v>70</v>
      </c>
      <c r="B1078">
        <v>89</v>
      </c>
      <c r="C1078">
        <v>415</v>
      </c>
      <c r="D1078" t="s">
        <v>29</v>
      </c>
      <c r="E1078" t="s">
        <v>29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10.130000000000001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 x14ac:dyDescent="0.25">
      <c r="A1079" t="s">
        <v>43</v>
      </c>
      <c r="B1079">
        <v>94</v>
      </c>
      <c r="C1079">
        <v>415</v>
      </c>
      <c r="D1079" t="s">
        <v>30</v>
      </c>
      <c r="E1079" t="s">
        <v>29</v>
      </c>
      <c r="F1079">
        <v>0</v>
      </c>
      <c r="G1079">
        <v>235.6</v>
      </c>
      <c r="H1079">
        <v>131</v>
      </c>
      <c r="I1079">
        <v>40.049999999999997</v>
      </c>
      <c r="J1079">
        <v>194.8</v>
      </c>
      <c r="K1079">
        <v>107</v>
      </c>
      <c r="L1079">
        <v>16.559999999999999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2.3199999999999998</v>
      </c>
      <c r="S1079">
        <v>1</v>
      </c>
      <c r="T1079" t="b">
        <v>0</v>
      </c>
    </row>
    <row r="1080" spans="1:20" x14ac:dyDescent="0.25">
      <c r="A1080" t="s">
        <v>42</v>
      </c>
      <c r="B1080">
        <v>129</v>
      </c>
      <c r="C1080">
        <v>408</v>
      </c>
      <c r="D1080" t="s">
        <v>29</v>
      </c>
      <c r="E1080" t="s">
        <v>29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 x14ac:dyDescent="0.25">
      <c r="A1081" t="s">
        <v>77</v>
      </c>
      <c r="B1081">
        <v>96</v>
      </c>
      <c r="C1081">
        <v>510</v>
      </c>
      <c r="D1081" t="s">
        <v>29</v>
      </c>
      <c r="E1081" t="s">
        <v>29</v>
      </c>
      <c r="F1081">
        <v>0</v>
      </c>
      <c r="G1081">
        <v>179.5</v>
      </c>
      <c r="H1081">
        <v>125</v>
      </c>
      <c r="I1081">
        <v>30.52</v>
      </c>
      <c r="J1081">
        <v>162.30000000000001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 x14ac:dyDescent="0.25">
      <c r="A1082" t="s">
        <v>75</v>
      </c>
      <c r="B1082">
        <v>108</v>
      </c>
      <c r="C1082">
        <v>415</v>
      </c>
      <c r="D1082" t="s">
        <v>29</v>
      </c>
      <c r="E1082" t="s">
        <v>29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4.0999999999999996</v>
      </c>
      <c r="Q1082">
        <v>4</v>
      </c>
      <c r="R1082">
        <v>1.1100000000000001</v>
      </c>
      <c r="S1082">
        <v>4</v>
      </c>
      <c r="T1082" t="b">
        <v>1</v>
      </c>
    </row>
    <row r="1083" spans="1:20" x14ac:dyDescent="0.25">
      <c r="A1083" t="s">
        <v>74</v>
      </c>
      <c r="B1083">
        <v>97</v>
      </c>
      <c r="C1083">
        <v>408</v>
      </c>
      <c r="D1083" t="s">
        <v>29</v>
      </c>
      <c r="E1083" t="s">
        <v>30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8.6300000000000008</v>
      </c>
      <c r="P1083">
        <v>8.5</v>
      </c>
      <c r="Q1083">
        <v>7</v>
      </c>
      <c r="R1083">
        <v>2.2999999999999998</v>
      </c>
      <c r="S1083">
        <v>0</v>
      </c>
      <c r="T1083" t="b">
        <v>0</v>
      </c>
    </row>
    <row r="1084" spans="1:20" x14ac:dyDescent="0.25">
      <c r="A1084" t="s">
        <v>42</v>
      </c>
      <c r="B1084">
        <v>84</v>
      </c>
      <c r="C1084">
        <v>415</v>
      </c>
      <c r="D1084" t="s">
        <v>29</v>
      </c>
      <c r="E1084" t="s">
        <v>30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 x14ac:dyDescent="0.25">
      <c r="A1085" t="s">
        <v>31</v>
      </c>
      <c r="B1085">
        <v>65</v>
      </c>
      <c r="C1085">
        <v>415</v>
      </c>
      <c r="D1085" t="s">
        <v>29</v>
      </c>
      <c r="E1085" t="s">
        <v>29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1.1299999999999999</v>
      </c>
      <c r="S1085">
        <v>4</v>
      </c>
      <c r="T1085" t="b">
        <v>1</v>
      </c>
    </row>
    <row r="1086" spans="1:20" x14ac:dyDescent="0.25">
      <c r="A1086" t="s">
        <v>42</v>
      </c>
      <c r="B1086">
        <v>131</v>
      </c>
      <c r="C1086">
        <v>415</v>
      </c>
      <c r="D1086" t="s">
        <v>29</v>
      </c>
      <c r="E1086" t="s">
        <v>30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 x14ac:dyDescent="0.25">
      <c r="A1087" t="s">
        <v>50</v>
      </c>
      <c r="B1087">
        <v>58</v>
      </c>
      <c r="C1087">
        <v>415</v>
      </c>
      <c r="D1087" t="s">
        <v>30</v>
      </c>
      <c r="E1087" t="s">
        <v>30</v>
      </c>
      <c r="F1087">
        <v>43</v>
      </c>
      <c r="G1087">
        <v>142.80000000000001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8.6999999999999993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 x14ac:dyDescent="0.25">
      <c r="A1088" t="s">
        <v>57</v>
      </c>
      <c r="B1088">
        <v>54</v>
      </c>
      <c r="C1088">
        <v>415</v>
      </c>
      <c r="D1088" t="s">
        <v>29</v>
      </c>
      <c r="E1088" t="s">
        <v>29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9.7899999999999991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 x14ac:dyDescent="0.25">
      <c r="A1089" t="s">
        <v>53</v>
      </c>
      <c r="B1089">
        <v>125</v>
      </c>
      <c r="C1089">
        <v>415</v>
      </c>
      <c r="D1089" t="s">
        <v>29</v>
      </c>
      <c r="E1089" t="s">
        <v>30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 x14ac:dyDescent="0.25">
      <c r="A1090" t="s">
        <v>42</v>
      </c>
      <c r="B1090">
        <v>72</v>
      </c>
      <c r="C1090">
        <v>415</v>
      </c>
      <c r="D1090" t="s">
        <v>29</v>
      </c>
      <c r="E1090" t="s">
        <v>30</v>
      </c>
      <c r="F1090">
        <v>21</v>
      </c>
      <c r="G1090">
        <v>138.1</v>
      </c>
      <c r="H1090">
        <v>113</v>
      </c>
      <c r="I1090">
        <v>23.48</v>
      </c>
      <c r="J1090">
        <v>260.10000000000002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8.1999999999999993</v>
      </c>
      <c r="Q1090">
        <v>2</v>
      </c>
      <c r="R1090">
        <v>2.21</v>
      </c>
      <c r="S1090">
        <v>2</v>
      </c>
      <c r="T1090" t="b">
        <v>0</v>
      </c>
    </row>
    <row r="1091" spans="1:20" x14ac:dyDescent="0.25">
      <c r="A1091" t="s">
        <v>80</v>
      </c>
      <c r="B1091">
        <v>141</v>
      </c>
      <c r="C1091">
        <v>408</v>
      </c>
      <c r="D1091" t="s">
        <v>29</v>
      </c>
      <c r="E1091" t="s">
        <v>29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 x14ac:dyDescent="0.25">
      <c r="A1092" t="s">
        <v>47</v>
      </c>
      <c r="B1092">
        <v>113</v>
      </c>
      <c r="C1092">
        <v>510</v>
      </c>
      <c r="D1092" t="s">
        <v>29</v>
      </c>
      <c r="E1092" t="s">
        <v>29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 x14ac:dyDescent="0.25">
      <c r="A1093" t="s">
        <v>63</v>
      </c>
      <c r="B1093">
        <v>20</v>
      </c>
      <c r="C1093">
        <v>415</v>
      </c>
      <c r="D1093" t="s">
        <v>29</v>
      </c>
      <c r="E1093" t="s">
        <v>30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 x14ac:dyDescent="0.25">
      <c r="A1094" t="s">
        <v>80</v>
      </c>
      <c r="B1094">
        <v>212</v>
      </c>
      <c r="C1094">
        <v>415</v>
      </c>
      <c r="D1094" t="s">
        <v>29</v>
      </c>
      <c r="E1094" t="s">
        <v>29</v>
      </c>
      <c r="F1094">
        <v>0</v>
      </c>
      <c r="G1094">
        <v>126</v>
      </c>
      <c r="H1094">
        <v>96</v>
      </c>
      <c r="I1094">
        <v>21.42</v>
      </c>
      <c r="J1094">
        <v>144.30000000000001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2.0499999999999998</v>
      </c>
      <c r="S1094">
        <v>1</v>
      </c>
      <c r="T1094" t="b">
        <v>0</v>
      </c>
    </row>
    <row r="1095" spans="1:20" x14ac:dyDescent="0.25">
      <c r="A1095" t="s">
        <v>60</v>
      </c>
      <c r="B1095">
        <v>99</v>
      </c>
      <c r="C1095">
        <v>415</v>
      </c>
      <c r="D1095" t="s">
        <v>30</v>
      </c>
      <c r="E1095" t="s">
        <v>29</v>
      </c>
      <c r="F1095">
        <v>0</v>
      </c>
      <c r="G1095">
        <v>197.2</v>
      </c>
      <c r="H1095">
        <v>127</v>
      </c>
      <c r="I1095">
        <v>33.520000000000003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 x14ac:dyDescent="0.25">
      <c r="A1096" t="s">
        <v>31</v>
      </c>
      <c r="B1096">
        <v>94</v>
      </c>
      <c r="C1096">
        <v>510</v>
      </c>
      <c r="D1096" t="s">
        <v>29</v>
      </c>
      <c r="E1096" t="s">
        <v>29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19.309999999999999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 x14ac:dyDescent="0.25">
      <c r="A1097" t="s">
        <v>70</v>
      </c>
      <c r="B1097">
        <v>40</v>
      </c>
      <c r="C1097">
        <v>510</v>
      </c>
      <c r="D1097" t="s">
        <v>29</v>
      </c>
      <c r="E1097" t="s">
        <v>29</v>
      </c>
      <c r="F1097">
        <v>0</v>
      </c>
      <c r="G1097">
        <v>115.7</v>
      </c>
      <c r="H1097">
        <v>105</v>
      </c>
      <c r="I1097">
        <v>19.670000000000002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9.3000000000000007</v>
      </c>
      <c r="Q1097">
        <v>6</v>
      </c>
      <c r="R1097">
        <v>2.5099999999999998</v>
      </c>
      <c r="S1097">
        <v>1</v>
      </c>
      <c r="T1097" t="b">
        <v>0</v>
      </c>
    </row>
    <row r="1098" spans="1:20" x14ac:dyDescent="0.25">
      <c r="A1098" t="s">
        <v>48</v>
      </c>
      <c r="B1098">
        <v>86</v>
      </c>
      <c r="C1098">
        <v>510</v>
      </c>
      <c r="D1098" t="s">
        <v>29</v>
      </c>
      <c r="E1098" t="s">
        <v>30</v>
      </c>
      <c r="F1098">
        <v>29</v>
      </c>
      <c r="G1098">
        <v>157.19999999999999</v>
      </c>
      <c r="H1098">
        <v>118</v>
      </c>
      <c r="I1098">
        <v>26.72</v>
      </c>
      <c r="J1098">
        <v>196.3</v>
      </c>
      <c r="K1098">
        <v>136</v>
      </c>
      <c r="L1098">
        <v>16.690000000000001</v>
      </c>
      <c r="M1098">
        <v>226.7</v>
      </c>
      <c r="N1098">
        <v>109</v>
      </c>
      <c r="O1098">
        <v>10.199999999999999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 x14ac:dyDescent="0.25">
      <c r="A1099" t="s">
        <v>33</v>
      </c>
      <c r="B1099">
        <v>101</v>
      </c>
      <c r="C1099">
        <v>415</v>
      </c>
      <c r="D1099" t="s">
        <v>29</v>
      </c>
      <c r="E1099" t="s">
        <v>29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17.649999999999999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 x14ac:dyDescent="0.25">
      <c r="A1100" t="s">
        <v>78</v>
      </c>
      <c r="B1100">
        <v>105</v>
      </c>
      <c r="C1100">
        <v>510</v>
      </c>
      <c r="D1100" t="s">
        <v>29</v>
      </c>
      <c r="E1100" t="s">
        <v>29</v>
      </c>
      <c r="F1100">
        <v>0</v>
      </c>
      <c r="G1100">
        <v>227.4</v>
      </c>
      <c r="H1100">
        <v>121</v>
      </c>
      <c r="I1100">
        <v>38.659999999999997</v>
      </c>
      <c r="J1100">
        <v>268.5</v>
      </c>
      <c r="K1100">
        <v>89</v>
      </c>
      <c r="L1100">
        <v>22.82</v>
      </c>
      <c r="M1100">
        <v>143.30000000000001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 x14ac:dyDescent="0.25">
      <c r="A1101" t="s">
        <v>55</v>
      </c>
      <c r="B1101">
        <v>140</v>
      </c>
      <c r="C1101">
        <v>415</v>
      </c>
      <c r="D1101" t="s">
        <v>30</v>
      </c>
      <c r="E1101" t="s">
        <v>30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 x14ac:dyDescent="0.25">
      <c r="A1102" t="s">
        <v>42</v>
      </c>
      <c r="B1102">
        <v>101</v>
      </c>
      <c r="C1102">
        <v>510</v>
      </c>
      <c r="D1102" t="s">
        <v>29</v>
      </c>
      <c r="E1102" t="s">
        <v>29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16.329999999999998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 x14ac:dyDescent="0.25">
      <c r="A1103" t="s">
        <v>44</v>
      </c>
      <c r="B1103">
        <v>98</v>
      </c>
      <c r="C1103">
        <v>408</v>
      </c>
      <c r="D1103" t="s">
        <v>29</v>
      </c>
      <c r="E1103" t="s">
        <v>30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 x14ac:dyDescent="0.25">
      <c r="A1104" t="s">
        <v>47</v>
      </c>
      <c r="B1104">
        <v>104</v>
      </c>
      <c r="C1104">
        <v>408</v>
      </c>
      <c r="D1104" t="s">
        <v>29</v>
      </c>
      <c r="E1104" t="s">
        <v>29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9.7200000000000006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 x14ac:dyDescent="0.25">
      <c r="A1105" t="s">
        <v>43</v>
      </c>
      <c r="B1105">
        <v>115</v>
      </c>
      <c r="C1105">
        <v>415</v>
      </c>
      <c r="D1105" t="s">
        <v>29</v>
      </c>
      <c r="E1105" t="s">
        <v>29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 x14ac:dyDescent="0.25">
      <c r="A1106" t="s">
        <v>48</v>
      </c>
      <c r="B1106">
        <v>70</v>
      </c>
      <c r="C1106">
        <v>415</v>
      </c>
      <c r="D1106" t="s">
        <v>29</v>
      </c>
      <c r="E1106" t="s">
        <v>29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17.399999999999999</v>
      </c>
      <c r="M1106">
        <v>256.60000000000002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 x14ac:dyDescent="0.25">
      <c r="A1107" t="s">
        <v>71</v>
      </c>
      <c r="B1107">
        <v>126</v>
      </c>
      <c r="C1107">
        <v>510</v>
      </c>
      <c r="D1107" t="s">
        <v>29</v>
      </c>
      <c r="E1107" t="s">
        <v>29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 x14ac:dyDescent="0.25">
      <c r="A1108" t="s">
        <v>68</v>
      </c>
      <c r="B1108">
        <v>87</v>
      </c>
      <c r="C1108">
        <v>510</v>
      </c>
      <c r="D1108" t="s">
        <v>29</v>
      </c>
      <c r="E1108" t="s">
        <v>30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 x14ac:dyDescent="0.25">
      <c r="A1109" t="s">
        <v>36</v>
      </c>
      <c r="B1109">
        <v>86</v>
      </c>
      <c r="C1109">
        <v>415</v>
      </c>
      <c r="D1109" t="s">
        <v>29</v>
      </c>
      <c r="E1109" t="s">
        <v>29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 x14ac:dyDescent="0.25">
      <c r="A1110" t="s">
        <v>32</v>
      </c>
      <c r="B1110">
        <v>1</v>
      </c>
      <c r="C1110">
        <v>415</v>
      </c>
      <c r="D1110" t="s">
        <v>29</v>
      </c>
      <c r="E1110" t="s">
        <v>30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 x14ac:dyDescent="0.25">
      <c r="A1111" t="s">
        <v>51</v>
      </c>
      <c r="B1111">
        <v>133</v>
      </c>
      <c r="C1111">
        <v>408</v>
      </c>
      <c r="D1111" t="s">
        <v>29</v>
      </c>
      <c r="E1111" t="s">
        <v>29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260.39999999999998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 x14ac:dyDescent="0.25">
      <c r="A1112" t="s">
        <v>64</v>
      </c>
      <c r="B1112">
        <v>103</v>
      </c>
      <c r="C1112">
        <v>510</v>
      </c>
      <c r="D1112" t="s">
        <v>29</v>
      </c>
      <c r="E1112" t="s">
        <v>29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16.350000000000001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 x14ac:dyDescent="0.25">
      <c r="A1113" t="s">
        <v>40</v>
      </c>
      <c r="B1113">
        <v>131</v>
      </c>
      <c r="C1113">
        <v>415</v>
      </c>
      <c r="D1113" t="s">
        <v>29</v>
      </c>
      <c r="E1113" t="s">
        <v>30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 x14ac:dyDescent="0.25">
      <c r="A1114" t="s">
        <v>52</v>
      </c>
      <c r="B1114">
        <v>99</v>
      </c>
      <c r="C1114">
        <v>510</v>
      </c>
      <c r="D1114" t="s">
        <v>29</v>
      </c>
      <c r="E1114" t="s">
        <v>29</v>
      </c>
      <c r="F1114">
        <v>0</v>
      </c>
      <c r="G1114">
        <v>142.30000000000001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 x14ac:dyDescent="0.25">
      <c r="A1115" t="s">
        <v>68</v>
      </c>
      <c r="B1115">
        <v>27</v>
      </c>
      <c r="C1115">
        <v>510</v>
      </c>
      <c r="D1115" t="s">
        <v>29</v>
      </c>
      <c r="E1115" t="s">
        <v>29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2.0499999999999998</v>
      </c>
      <c r="S1115">
        <v>3</v>
      </c>
      <c r="T1115" t="b">
        <v>0</v>
      </c>
    </row>
    <row r="1116" spans="1:20" x14ac:dyDescent="0.25">
      <c r="A1116" t="s">
        <v>54</v>
      </c>
      <c r="B1116">
        <v>141</v>
      </c>
      <c r="C1116">
        <v>408</v>
      </c>
      <c r="D1116" t="s">
        <v>29</v>
      </c>
      <c r="E1116" t="s">
        <v>29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 x14ac:dyDescent="0.25">
      <c r="A1117" t="s">
        <v>31</v>
      </c>
      <c r="B1117">
        <v>29</v>
      </c>
      <c r="C1117">
        <v>415</v>
      </c>
      <c r="D1117" t="s">
        <v>30</v>
      </c>
      <c r="E1117" t="s">
        <v>30</v>
      </c>
      <c r="F1117">
        <v>37</v>
      </c>
      <c r="G1117">
        <v>235</v>
      </c>
      <c r="H1117">
        <v>101</v>
      </c>
      <c r="I1117">
        <v>39.950000000000003</v>
      </c>
      <c r="J1117">
        <v>183.3</v>
      </c>
      <c r="K1117">
        <v>79</v>
      </c>
      <c r="L1117">
        <v>15.58</v>
      </c>
      <c r="M1117">
        <v>139.80000000000001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 x14ac:dyDescent="0.25">
      <c r="A1118" t="s">
        <v>67</v>
      </c>
      <c r="B1118">
        <v>65</v>
      </c>
      <c r="C1118">
        <v>415</v>
      </c>
      <c r="D1118" t="s">
        <v>29</v>
      </c>
      <c r="E1118" t="s">
        <v>29</v>
      </c>
      <c r="F1118">
        <v>0</v>
      </c>
      <c r="G1118">
        <v>105.7</v>
      </c>
      <c r="H1118">
        <v>95</v>
      </c>
      <c r="I1118">
        <v>17.97</v>
      </c>
      <c r="J1118">
        <v>141.80000000000001</v>
      </c>
      <c r="K1118">
        <v>100</v>
      </c>
      <c r="L1118">
        <v>12.05</v>
      </c>
      <c r="M1118">
        <v>180.5</v>
      </c>
      <c r="N1118">
        <v>105</v>
      </c>
      <c r="O1118">
        <v>8.1199999999999992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 x14ac:dyDescent="0.25">
      <c r="A1119" t="s">
        <v>74</v>
      </c>
      <c r="B1119">
        <v>81</v>
      </c>
      <c r="C1119">
        <v>415</v>
      </c>
      <c r="D1119" t="s">
        <v>30</v>
      </c>
      <c r="E1119" t="s">
        <v>29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17.899999999999999</v>
      </c>
      <c r="Q1119">
        <v>3</v>
      </c>
      <c r="R1119">
        <v>4.83</v>
      </c>
      <c r="S1119">
        <v>3</v>
      </c>
      <c r="T1119" t="b">
        <v>1</v>
      </c>
    </row>
    <row r="1120" spans="1:20" x14ac:dyDescent="0.25">
      <c r="A1120" t="s">
        <v>66</v>
      </c>
      <c r="B1120">
        <v>37</v>
      </c>
      <c r="C1120">
        <v>415</v>
      </c>
      <c r="D1120" t="s">
        <v>29</v>
      </c>
      <c r="E1120" t="s">
        <v>30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18.399999999999999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 x14ac:dyDescent="0.25">
      <c r="A1121" t="s">
        <v>49</v>
      </c>
      <c r="B1121">
        <v>107</v>
      </c>
      <c r="C1121">
        <v>510</v>
      </c>
      <c r="D1121" t="s">
        <v>29</v>
      </c>
      <c r="E1121" t="s">
        <v>30</v>
      </c>
      <c r="F1121">
        <v>31</v>
      </c>
      <c r="G1121">
        <v>160.30000000000001</v>
      </c>
      <c r="H1121">
        <v>45</v>
      </c>
      <c r="I1121">
        <v>27.25</v>
      </c>
      <c r="J1121">
        <v>221.5</v>
      </c>
      <c r="K1121">
        <v>70</v>
      </c>
      <c r="L1121">
        <v>18.829999999999998</v>
      </c>
      <c r="M1121">
        <v>261.60000000000002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 x14ac:dyDescent="0.25">
      <c r="A1122" t="s">
        <v>49</v>
      </c>
      <c r="B1122">
        <v>127</v>
      </c>
      <c r="C1122">
        <v>415</v>
      </c>
      <c r="D1122" t="s">
        <v>30</v>
      </c>
      <c r="E1122" t="s">
        <v>30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152.80000000000001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 x14ac:dyDescent="0.25">
      <c r="A1123" t="s">
        <v>65</v>
      </c>
      <c r="B1123">
        <v>78</v>
      </c>
      <c r="C1123">
        <v>408</v>
      </c>
      <c r="D1123" t="s">
        <v>29</v>
      </c>
      <c r="E1123" t="s">
        <v>29</v>
      </c>
      <c r="F1123">
        <v>0</v>
      </c>
      <c r="G1123">
        <v>140.69999999999999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 x14ac:dyDescent="0.25">
      <c r="A1124" t="s">
        <v>38</v>
      </c>
      <c r="B1124">
        <v>176</v>
      </c>
      <c r="C1124">
        <v>415</v>
      </c>
      <c r="D1124" t="s">
        <v>29</v>
      </c>
      <c r="E1124" t="s">
        <v>29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 x14ac:dyDescent="0.25">
      <c r="A1125" t="s">
        <v>34</v>
      </c>
      <c r="B1125">
        <v>96</v>
      </c>
      <c r="C1125">
        <v>415</v>
      </c>
      <c r="D1125" t="s">
        <v>30</v>
      </c>
      <c r="E1125" t="s">
        <v>29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 x14ac:dyDescent="0.25">
      <c r="A1126" t="s">
        <v>37</v>
      </c>
      <c r="B1126">
        <v>11</v>
      </c>
      <c r="C1126">
        <v>510</v>
      </c>
      <c r="D1126" t="s">
        <v>29</v>
      </c>
      <c r="E1126" t="s">
        <v>30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 x14ac:dyDescent="0.25">
      <c r="A1127" t="s">
        <v>37</v>
      </c>
      <c r="B1127">
        <v>48</v>
      </c>
      <c r="C1127">
        <v>415</v>
      </c>
      <c r="D1127" t="s">
        <v>29</v>
      </c>
      <c r="E1127" t="s">
        <v>30</v>
      </c>
      <c r="F1127">
        <v>34</v>
      </c>
      <c r="G1127">
        <v>198</v>
      </c>
      <c r="H1127">
        <v>70</v>
      </c>
      <c r="I1127">
        <v>33.659999999999997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2.0499999999999998</v>
      </c>
      <c r="S1127">
        <v>1</v>
      </c>
      <c r="T1127" t="b">
        <v>0</v>
      </c>
    </row>
    <row r="1128" spans="1:20" x14ac:dyDescent="0.25">
      <c r="A1128" t="s">
        <v>61</v>
      </c>
      <c r="B1128">
        <v>47</v>
      </c>
      <c r="C1128">
        <v>408</v>
      </c>
      <c r="D1128" t="s">
        <v>29</v>
      </c>
      <c r="E1128" t="s">
        <v>30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8.0399999999999991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 x14ac:dyDescent="0.25">
      <c r="A1129" t="s">
        <v>50</v>
      </c>
      <c r="B1129">
        <v>89</v>
      </c>
      <c r="C1129">
        <v>415</v>
      </c>
      <c r="D1129" t="s">
        <v>30</v>
      </c>
      <c r="E1129" t="s">
        <v>30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 x14ac:dyDescent="0.25">
      <c r="A1130" t="s">
        <v>74</v>
      </c>
      <c r="B1130">
        <v>83</v>
      </c>
      <c r="C1130">
        <v>510</v>
      </c>
      <c r="D1130" t="s">
        <v>29</v>
      </c>
      <c r="E1130" t="s">
        <v>30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 x14ac:dyDescent="0.25">
      <c r="A1131" t="s">
        <v>57</v>
      </c>
      <c r="B1131">
        <v>126</v>
      </c>
      <c r="C1131">
        <v>415</v>
      </c>
      <c r="D1131" t="s">
        <v>30</v>
      </c>
      <c r="E1131" t="s">
        <v>30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18.670000000000002</v>
      </c>
      <c r="M1131">
        <v>210.8</v>
      </c>
      <c r="N1131">
        <v>136</v>
      </c>
      <c r="O1131">
        <v>9.49</v>
      </c>
      <c r="P1131">
        <v>9.6999999999999993</v>
      </c>
      <c r="Q1131">
        <v>6</v>
      </c>
      <c r="R1131">
        <v>2.62</v>
      </c>
      <c r="S1131">
        <v>4</v>
      </c>
      <c r="T1131" t="b">
        <v>0</v>
      </c>
    </row>
    <row r="1132" spans="1:20" x14ac:dyDescent="0.25">
      <c r="A1132" t="s">
        <v>79</v>
      </c>
      <c r="B1132">
        <v>60</v>
      </c>
      <c r="C1132">
        <v>510</v>
      </c>
      <c r="D1132" t="s">
        <v>29</v>
      </c>
      <c r="E1132" t="s">
        <v>29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10.119999999999999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 x14ac:dyDescent="0.25">
      <c r="A1133" t="s">
        <v>42</v>
      </c>
      <c r="B1133">
        <v>122</v>
      </c>
      <c r="C1133">
        <v>415</v>
      </c>
      <c r="D1133" t="s">
        <v>29</v>
      </c>
      <c r="E1133" t="s">
        <v>29</v>
      </c>
      <c r="F1133">
        <v>0</v>
      </c>
      <c r="G1133">
        <v>136.69999999999999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2.3199999999999998</v>
      </c>
      <c r="S1133">
        <v>0</v>
      </c>
      <c r="T1133" t="b">
        <v>0</v>
      </c>
    </row>
    <row r="1134" spans="1:20" x14ac:dyDescent="0.25">
      <c r="A1134" t="s">
        <v>65</v>
      </c>
      <c r="B1134">
        <v>136</v>
      </c>
      <c r="C1134">
        <v>408</v>
      </c>
      <c r="D1134" t="s">
        <v>29</v>
      </c>
      <c r="E1134" t="s">
        <v>29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17.760000000000002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 x14ac:dyDescent="0.25">
      <c r="A1135" t="s">
        <v>64</v>
      </c>
      <c r="B1135">
        <v>172</v>
      </c>
      <c r="C1135">
        <v>408</v>
      </c>
      <c r="D1135" t="s">
        <v>29</v>
      </c>
      <c r="E1135" t="s">
        <v>30</v>
      </c>
      <c r="F1135">
        <v>47</v>
      </c>
      <c r="G1135">
        <v>274.89999999999998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8.8000000000000007</v>
      </c>
      <c r="Q1135">
        <v>2</v>
      </c>
      <c r="R1135">
        <v>2.38</v>
      </c>
      <c r="S1135">
        <v>1</v>
      </c>
      <c r="T1135" t="b">
        <v>0</v>
      </c>
    </row>
    <row r="1136" spans="1:20" x14ac:dyDescent="0.25">
      <c r="A1136" t="s">
        <v>72</v>
      </c>
      <c r="B1136">
        <v>102</v>
      </c>
      <c r="C1136">
        <v>510</v>
      </c>
      <c r="D1136" t="s">
        <v>29</v>
      </c>
      <c r="E1136" t="s">
        <v>29</v>
      </c>
      <c r="F1136">
        <v>0</v>
      </c>
      <c r="G1136">
        <v>195.7</v>
      </c>
      <c r="H1136">
        <v>116</v>
      </c>
      <c r="I1136">
        <v>33.270000000000003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9.0500000000000007</v>
      </c>
      <c r="P1136">
        <v>8.3000000000000007</v>
      </c>
      <c r="Q1136">
        <v>3</v>
      </c>
      <c r="R1136">
        <v>2.2400000000000002</v>
      </c>
      <c r="S1136">
        <v>1</v>
      </c>
      <c r="T1136" t="b">
        <v>1</v>
      </c>
    </row>
    <row r="1137" spans="1:20" x14ac:dyDescent="0.25">
      <c r="A1137" t="s">
        <v>63</v>
      </c>
      <c r="B1137">
        <v>113</v>
      </c>
      <c r="C1137">
        <v>415</v>
      </c>
      <c r="D1137" t="s">
        <v>30</v>
      </c>
      <c r="E1137" t="s">
        <v>29</v>
      </c>
      <c r="F1137">
        <v>0</v>
      </c>
      <c r="G1137">
        <v>204.3</v>
      </c>
      <c r="H1137">
        <v>82</v>
      </c>
      <c r="I1137">
        <v>34.729999999999997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9.1999999999999993</v>
      </c>
      <c r="Q1137">
        <v>7</v>
      </c>
      <c r="R1137">
        <v>2.48</v>
      </c>
      <c r="S1137">
        <v>1</v>
      </c>
      <c r="T1137" t="b">
        <v>0</v>
      </c>
    </row>
    <row r="1138" spans="1:20" x14ac:dyDescent="0.25">
      <c r="A1138" t="s">
        <v>37</v>
      </c>
      <c r="B1138">
        <v>79</v>
      </c>
      <c r="C1138">
        <v>415</v>
      </c>
      <c r="D1138" t="s">
        <v>29</v>
      </c>
      <c r="E1138" t="s">
        <v>29</v>
      </c>
      <c r="F1138">
        <v>0</v>
      </c>
      <c r="G1138">
        <v>222.3</v>
      </c>
      <c r="H1138">
        <v>99</v>
      </c>
      <c r="I1138">
        <v>37.79</v>
      </c>
      <c r="J1138">
        <v>146.19999999999999</v>
      </c>
      <c r="K1138">
        <v>82</v>
      </c>
      <c r="L1138">
        <v>12.43</v>
      </c>
      <c r="M1138">
        <v>275.60000000000002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 x14ac:dyDescent="0.25">
      <c r="A1139" t="s">
        <v>41</v>
      </c>
      <c r="B1139">
        <v>55</v>
      </c>
      <c r="C1139">
        <v>510</v>
      </c>
      <c r="D1139" t="s">
        <v>29</v>
      </c>
      <c r="E1139" t="s">
        <v>30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16.989999999999998</v>
      </c>
      <c r="P1139">
        <v>9.6999999999999993</v>
      </c>
      <c r="Q1139">
        <v>2</v>
      </c>
      <c r="R1139">
        <v>2.62</v>
      </c>
      <c r="S1139">
        <v>1</v>
      </c>
      <c r="T1139" t="b">
        <v>0</v>
      </c>
    </row>
    <row r="1140" spans="1:20" x14ac:dyDescent="0.25">
      <c r="A1140" t="s">
        <v>53</v>
      </c>
      <c r="B1140">
        <v>160</v>
      </c>
      <c r="C1140">
        <v>415</v>
      </c>
      <c r="D1140" t="s">
        <v>29</v>
      </c>
      <c r="E1140" t="s">
        <v>29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8.3000000000000007</v>
      </c>
      <c r="Q1140">
        <v>2</v>
      </c>
      <c r="R1140">
        <v>2.2400000000000002</v>
      </c>
      <c r="S1140">
        <v>0</v>
      </c>
      <c r="T1140" t="b">
        <v>0</v>
      </c>
    </row>
    <row r="1141" spans="1:20" x14ac:dyDescent="0.25">
      <c r="A1141" t="s">
        <v>45</v>
      </c>
      <c r="B1141">
        <v>110</v>
      </c>
      <c r="C1141">
        <v>415</v>
      </c>
      <c r="D1141" t="s">
        <v>29</v>
      </c>
      <c r="E1141" t="s">
        <v>29</v>
      </c>
      <c r="F1141">
        <v>0</v>
      </c>
      <c r="G1141">
        <v>242.5</v>
      </c>
      <c r="H1141">
        <v>110</v>
      </c>
      <c r="I1141">
        <v>41.23</v>
      </c>
      <c r="J1141">
        <v>162.30000000000001</v>
      </c>
      <c r="K1141">
        <v>140</v>
      </c>
      <c r="L1141">
        <v>13.8</v>
      </c>
      <c r="M1141">
        <v>184.1</v>
      </c>
      <c r="N1141">
        <v>86</v>
      </c>
      <c r="O1141">
        <v>8.2799999999999994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 x14ac:dyDescent="0.25">
      <c r="A1142" t="s">
        <v>46</v>
      </c>
      <c r="B1142">
        <v>192</v>
      </c>
      <c r="C1142">
        <v>415</v>
      </c>
      <c r="D1142" t="s">
        <v>29</v>
      </c>
      <c r="E1142" t="s">
        <v>29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 x14ac:dyDescent="0.25">
      <c r="A1143" t="s">
        <v>68</v>
      </c>
      <c r="B1143">
        <v>93</v>
      </c>
      <c r="C1143">
        <v>408</v>
      </c>
      <c r="D1143" t="s">
        <v>29</v>
      </c>
      <c r="E1143" t="s">
        <v>29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 x14ac:dyDescent="0.25">
      <c r="A1144" t="s">
        <v>60</v>
      </c>
      <c r="B1144">
        <v>101</v>
      </c>
      <c r="C1144">
        <v>415</v>
      </c>
      <c r="D1144" t="s">
        <v>29</v>
      </c>
      <c r="E1144" t="s">
        <v>30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8.3000000000000007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 x14ac:dyDescent="0.25">
      <c r="A1145" t="s">
        <v>43</v>
      </c>
      <c r="B1145">
        <v>77</v>
      </c>
      <c r="C1145">
        <v>510</v>
      </c>
      <c r="D1145" t="s">
        <v>29</v>
      </c>
      <c r="E1145" t="s">
        <v>29</v>
      </c>
      <c r="F1145">
        <v>0</v>
      </c>
      <c r="G1145">
        <v>144.9</v>
      </c>
      <c r="H1145">
        <v>136</v>
      </c>
      <c r="I1145">
        <v>24.63</v>
      </c>
      <c r="J1145">
        <v>151.30000000000001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 x14ac:dyDescent="0.25">
      <c r="A1146" t="s">
        <v>61</v>
      </c>
      <c r="B1146">
        <v>105</v>
      </c>
      <c r="C1146">
        <v>415</v>
      </c>
      <c r="D1146" t="s">
        <v>29</v>
      </c>
      <c r="E1146" t="s">
        <v>30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9.9499999999999993</v>
      </c>
      <c r="M1146">
        <v>221.1</v>
      </c>
      <c r="N1146">
        <v>115</v>
      </c>
      <c r="O1146">
        <v>9.9499999999999993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 x14ac:dyDescent="0.25">
      <c r="A1147" t="s">
        <v>61</v>
      </c>
      <c r="B1147">
        <v>133</v>
      </c>
      <c r="C1147">
        <v>408</v>
      </c>
      <c r="D1147" t="s">
        <v>29</v>
      </c>
      <c r="E1147" t="s">
        <v>30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 x14ac:dyDescent="0.25">
      <c r="A1148" t="s">
        <v>36</v>
      </c>
      <c r="B1148">
        <v>131</v>
      </c>
      <c r="C1148">
        <v>408</v>
      </c>
      <c r="D1148" t="s">
        <v>29</v>
      </c>
      <c r="E1148" t="s">
        <v>29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258.60000000000002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 x14ac:dyDescent="0.25">
      <c r="A1149" t="s">
        <v>80</v>
      </c>
      <c r="B1149">
        <v>106</v>
      </c>
      <c r="C1149">
        <v>510</v>
      </c>
      <c r="D1149" t="s">
        <v>29</v>
      </c>
      <c r="E1149" t="s">
        <v>30</v>
      </c>
      <c r="F1149">
        <v>33</v>
      </c>
      <c r="G1149">
        <v>81.599999999999994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 x14ac:dyDescent="0.25">
      <c r="A1150" t="s">
        <v>78</v>
      </c>
      <c r="B1150">
        <v>118</v>
      </c>
      <c r="C1150">
        <v>415</v>
      </c>
      <c r="D1150" t="s">
        <v>29</v>
      </c>
      <c r="E1150" t="s">
        <v>29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 x14ac:dyDescent="0.25">
      <c r="A1151" t="s">
        <v>55</v>
      </c>
      <c r="B1151">
        <v>125</v>
      </c>
      <c r="C1151">
        <v>408</v>
      </c>
      <c r="D1151" t="s">
        <v>29</v>
      </c>
      <c r="E1151" t="s">
        <v>29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17.829999999999998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2.3199999999999998</v>
      </c>
      <c r="S1151">
        <v>1</v>
      </c>
      <c r="T1151" t="b">
        <v>0</v>
      </c>
    </row>
    <row r="1152" spans="1:20" x14ac:dyDescent="0.25">
      <c r="A1152" t="s">
        <v>43</v>
      </c>
      <c r="B1152">
        <v>95</v>
      </c>
      <c r="C1152">
        <v>415</v>
      </c>
      <c r="D1152" t="s">
        <v>29</v>
      </c>
      <c r="E1152" t="s">
        <v>29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9.5399999999999991</v>
      </c>
      <c r="P1152">
        <v>16.100000000000001</v>
      </c>
      <c r="Q1152">
        <v>8</v>
      </c>
      <c r="R1152">
        <v>4.3499999999999996</v>
      </c>
      <c r="S1152">
        <v>0</v>
      </c>
      <c r="T1152" t="b">
        <v>0</v>
      </c>
    </row>
    <row r="1153" spans="1:20" x14ac:dyDescent="0.25">
      <c r="A1153" t="s">
        <v>40</v>
      </c>
      <c r="B1153">
        <v>80</v>
      </c>
      <c r="C1153">
        <v>415</v>
      </c>
      <c r="D1153" t="s">
        <v>29</v>
      </c>
      <c r="E1153" t="s">
        <v>29</v>
      </c>
      <c r="F1153">
        <v>0</v>
      </c>
      <c r="G1153">
        <v>198.1</v>
      </c>
      <c r="H1153">
        <v>160</v>
      </c>
      <c r="I1153">
        <v>33.68</v>
      </c>
      <c r="J1153">
        <v>156.69999999999999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9.3000000000000007</v>
      </c>
      <c r="Q1153">
        <v>3</v>
      </c>
      <c r="R1153">
        <v>2.5099999999999998</v>
      </c>
      <c r="S1153">
        <v>3</v>
      </c>
      <c r="T1153" t="b">
        <v>0</v>
      </c>
    </row>
    <row r="1154" spans="1:20" x14ac:dyDescent="0.25">
      <c r="A1154" t="s">
        <v>75</v>
      </c>
      <c r="B1154">
        <v>145</v>
      </c>
      <c r="C1154">
        <v>408</v>
      </c>
      <c r="D1154" t="s">
        <v>29</v>
      </c>
      <c r="E1154" t="s">
        <v>29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 x14ac:dyDescent="0.25">
      <c r="A1155" t="s">
        <v>46</v>
      </c>
      <c r="B1155">
        <v>37</v>
      </c>
      <c r="C1155">
        <v>408</v>
      </c>
      <c r="D1155" t="s">
        <v>29</v>
      </c>
      <c r="E1155" t="s">
        <v>29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 x14ac:dyDescent="0.25">
      <c r="A1156" t="s">
        <v>41</v>
      </c>
      <c r="B1156">
        <v>87</v>
      </c>
      <c r="C1156">
        <v>415</v>
      </c>
      <c r="D1156" t="s">
        <v>29</v>
      </c>
      <c r="E1156" t="s">
        <v>29</v>
      </c>
      <c r="F1156">
        <v>0</v>
      </c>
      <c r="G1156">
        <v>156.80000000000001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10.050000000000001</v>
      </c>
      <c r="P1156">
        <v>7.6</v>
      </c>
      <c r="Q1156">
        <v>6</v>
      </c>
      <c r="R1156">
        <v>2.0499999999999998</v>
      </c>
      <c r="S1156">
        <v>1</v>
      </c>
      <c r="T1156" t="b">
        <v>0</v>
      </c>
    </row>
    <row r="1157" spans="1:20" x14ac:dyDescent="0.25">
      <c r="A1157" t="s">
        <v>34</v>
      </c>
      <c r="B1157">
        <v>69</v>
      </c>
      <c r="C1157">
        <v>415</v>
      </c>
      <c r="D1157" t="s">
        <v>29</v>
      </c>
      <c r="E1157" t="s">
        <v>29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2.4300000000000002</v>
      </c>
      <c r="S1157">
        <v>3</v>
      </c>
      <c r="T1157" t="b">
        <v>0</v>
      </c>
    </row>
    <row r="1158" spans="1:20" x14ac:dyDescent="0.25">
      <c r="A1158" t="s">
        <v>46</v>
      </c>
      <c r="B1158">
        <v>83</v>
      </c>
      <c r="C1158">
        <v>510</v>
      </c>
      <c r="D1158" t="s">
        <v>29</v>
      </c>
      <c r="E1158" t="s">
        <v>29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2.3199999999999998</v>
      </c>
      <c r="S1158">
        <v>1</v>
      </c>
      <c r="T1158" t="b">
        <v>0</v>
      </c>
    </row>
    <row r="1159" spans="1:20" x14ac:dyDescent="0.25">
      <c r="A1159" t="s">
        <v>61</v>
      </c>
      <c r="B1159">
        <v>195</v>
      </c>
      <c r="C1159">
        <v>415</v>
      </c>
      <c r="D1159" t="s">
        <v>29</v>
      </c>
      <c r="E1159" t="s">
        <v>29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8.2799999999999994</v>
      </c>
      <c r="P1159">
        <v>5.0999999999999996</v>
      </c>
      <c r="Q1159">
        <v>3</v>
      </c>
      <c r="R1159">
        <v>1.38</v>
      </c>
      <c r="S1159">
        <v>0</v>
      </c>
      <c r="T1159" t="b">
        <v>0</v>
      </c>
    </row>
    <row r="1160" spans="1:20" x14ac:dyDescent="0.25">
      <c r="A1160" t="s">
        <v>59</v>
      </c>
      <c r="B1160">
        <v>67</v>
      </c>
      <c r="C1160">
        <v>415</v>
      </c>
      <c r="D1160" t="s">
        <v>30</v>
      </c>
      <c r="E1160" t="s">
        <v>30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18.350000000000001</v>
      </c>
      <c r="M1160">
        <v>216.3</v>
      </c>
      <c r="N1160">
        <v>106</v>
      </c>
      <c r="O1160">
        <v>9.73</v>
      </c>
      <c r="P1160">
        <v>16.899999999999999</v>
      </c>
      <c r="Q1160">
        <v>4</v>
      </c>
      <c r="R1160">
        <v>4.5599999999999996</v>
      </c>
      <c r="S1160">
        <v>0</v>
      </c>
      <c r="T1160" t="b">
        <v>1</v>
      </c>
    </row>
    <row r="1161" spans="1:20" x14ac:dyDescent="0.25">
      <c r="A1161" t="s">
        <v>31</v>
      </c>
      <c r="B1161">
        <v>75</v>
      </c>
      <c r="C1161">
        <v>510</v>
      </c>
      <c r="D1161" t="s">
        <v>29</v>
      </c>
      <c r="E1161" t="s">
        <v>30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17.579999999999998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1.1299999999999999</v>
      </c>
      <c r="S1161">
        <v>3</v>
      </c>
      <c r="T1161" t="b">
        <v>0</v>
      </c>
    </row>
    <row r="1162" spans="1:20" x14ac:dyDescent="0.25">
      <c r="A1162" t="s">
        <v>38</v>
      </c>
      <c r="B1162">
        <v>123</v>
      </c>
      <c r="C1162">
        <v>415</v>
      </c>
      <c r="D1162" t="s">
        <v>29</v>
      </c>
      <c r="E1162" t="s">
        <v>30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 x14ac:dyDescent="0.25">
      <c r="A1163" t="s">
        <v>45</v>
      </c>
      <c r="B1163">
        <v>41</v>
      </c>
      <c r="C1163">
        <v>415</v>
      </c>
      <c r="D1163" t="s">
        <v>29</v>
      </c>
      <c r="E1163" t="s">
        <v>30</v>
      </c>
      <c r="F1163">
        <v>41</v>
      </c>
      <c r="G1163">
        <v>207.3</v>
      </c>
      <c r="H1163">
        <v>95</v>
      </c>
      <c r="I1163">
        <v>35.24</v>
      </c>
      <c r="J1163">
        <v>137.30000000000001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 x14ac:dyDescent="0.25">
      <c r="A1164" t="s">
        <v>31</v>
      </c>
      <c r="B1164">
        <v>75</v>
      </c>
      <c r="C1164">
        <v>415</v>
      </c>
      <c r="D1164" t="s">
        <v>29</v>
      </c>
      <c r="E1164" t="s">
        <v>29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158.69999999999999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 x14ac:dyDescent="0.25">
      <c r="A1165" t="s">
        <v>55</v>
      </c>
      <c r="B1165">
        <v>76</v>
      </c>
      <c r="C1165">
        <v>415</v>
      </c>
      <c r="D1165" t="s">
        <v>30</v>
      </c>
      <c r="E1165" t="s">
        <v>29</v>
      </c>
      <c r="F1165">
        <v>0</v>
      </c>
      <c r="G1165">
        <v>273.3</v>
      </c>
      <c r="H1165">
        <v>66</v>
      </c>
      <c r="I1165">
        <v>46.46</v>
      </c>
      <c r="J1165">
        <v>263.60000000000002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 x14ac:dyDescent="0.25">
      <c r="A1166" t="s">
        <v>50</v>
      </c>
      <c r="B1166">
        <v>86</v>
      </c>
      <c r="C1166">
        <v>415</v>
      </c>
      <c r="D1166" t="s">
        <v>30</v>
      </c>
      <c r="E1166" t="s">
        <v>29</v>
      </c>
      <c r="F1166">
        <v>0</v>
      </c>
      <c r="G1166">
        <v>266.10000000000002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9.2899999999999991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 x14ac:dyDescent="0.25">
      <c r="A1167" t="s">
        <v>77</v>
      </c>
      <c r="B1167">
        <v>140</v>
      </c>
      <c r="C1167">
        <v>408</v>
      </c>
      <c r="D1167" t="s">
        <v>29</v>
      </c>
      <c r="E1167" t="s">
        <v>29</v>
      </c>
      <c r="F1167">
        <v>0</v>
      </c>
      <c r="G1167">
        <v>112.8</v>
      </c>
      <c r="H1167">
        <v>89</v>
      </c>
      <c r="I1167">
        <v>19.18</v>
      </c>
      <c r="J1167">
        <v>156.69999999999999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4.4000000000000004</v>
      </c>
      <c r="S1167">
        <v>0</v>
      </c>
      <c r="T1167" t="b">
        <v>0</v>
      </c>
    </row>
    <row r="1168" spans="1:20" x14ac:dyDescent="0.25">
      <c r="A1168" t="s">
        <v>47</v>
      </c>
      <c r="B1168">
        <v>70</v>
      </c>
      <c r="C1168">
        <v>415</v>
      </c>
      <c r="D1168" t="s">
        <v>29</v>
      </c>
      <c r="E1168" t="s">
        <v>29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4.2699999999999996</v>
      </c>
      <c r="S1168">
        <v>3</v>
      </c>
      <c r="T1168" t="b">
        <v>0</v>
      </c>
    </row>
    <row r="1169" spans="1:20" x14ac:dyDescent="0.25">
      <c r="A1169" t="s">
        <v>78</v>
      </c>
      <c r="B1169">
        <v>118</v>
      </c>
      <c r="C1169">
        <v>415</v>
      </c>
      <c r="D1169" t="s">
        <v>29</v>
      </c>
      <c r="E1169" t="s">
        <v>29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8.7899999999999991</v>
      </c>
      <c r="P1169">
        <v>9.6999999999999993</v>
      </c>
      <c r="Q1169">
        <v>7</v>
      </c>
      <c r="R1169">
        <v>2.62</v>
      </c>
      <c r="S1169">
        <v>2</v>
      </c>
      <c r="T1169" t="b">
        <v>0</v>
      </c>
    </row>
    <row r="1170" spans="1:20" x14ac:dyDescent="0.25">
      <c r="A1170" t="s">
        <v>32</v>
      </c>
      <c r="B1170">
        <v>66</v>
      </c>
      <c r="C1170">
        <v>415</v>
      </c>
      <c r="D1170" t="s">
        <v>29</v>
      </c>
      <c r="E1170" t="s">
        <v>30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305.39999999999998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 x14ac:dyDescent="0.25">
      <c r="A1171" t="s">
        <v>57</v>
      </c>
      <c r="B1171">
        <v>78</v>
      </c>
      <c r="C1171">
        <v>408</v>
      </c>
      <c r="D1171" t="s">
        <v>29</v>
      </c>
      <c r="E1171" t="s">
        <v>29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 x14ac:dyDescent="0.25">
      <c r="A1172" t="s">
        <v>55</v>
      </c>
      <c r="B1172">
        <v>129</v>
      </c>
      <c r="C1172">
        <v>415</v>
      </c>
      <c r="D1172" t="s">
        <v>29</v>
      </c>
      <c r="E1172" t="s">
        <v>30</v>
      </c>
      <c r="F1172">
        <v>34</v>
      </c>
      <c r="G1172">
        <v>204.5</v>
      </c>
      <c r="H1172">
        <v>79</v>
      </c>
      <c r="I1172">
        <v>34.770000000000003</v>
      </c>
      <c r="J1172">
        <v>132.80000000000001</v>
      </c>
      <c r="K1172">
        <v>113</v>
      </c>
      <c r="L1172">
        <v>11.29</v>
      </c>
      <c r="M1172">
        <v>190.1</v>
      </c>
      <c r="N1172">
        <v>117</v>
      </c>
      <c r="O1172">
        <v>8.5500000000000007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 x14ac:dyDescent="0.25">
      <c r="A1173" t="s">
        <v>58</v>
      </c>
      <c r="B1173">
        <v>6</v>
      </c>
      <c r="C1173">
        <v>408</v>
      </c>
      <c r="D1173" t="s">
        <v>29</v>
      </c>
      <c r="E1173" t="s">
        <v>29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 x14ac:dyDescent="0.25">
      <c r="A1174" t="s">
        <v>68</v>
      </c>
      <c r="B1174">
        <v>107</v>
      </c>
      <c r="C1174">
        <v>510</v>
      </c>
      <c r="D1174" t="s">
        <v>30</v>
      </c>
      <c r="E1174" t="s">
        <v>29</v>
      </c>
      <c r="F1174">
        <v>0</v>
      </c>
      <c r="G1174">
        <v>234.1</v>
      </c>
      <c r="H1174">
        <v>91</v>
      </c>
      <c r="I1174">
        <v>39.799999999999997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 x14ac:dyDescent="0.25">
      <c r="A1175" t="s">
        <v>56</v>
      </c>
      <c r="B1175">
        <v>107</v>
      </c>
      <c r="C1175">
        <v>415</v>
      </c>
      <c r="D1175" t="s">
        <v>30</v>
      </c>
      <c r="E1175" t="s">
        <v>29</v>
      </c>
      <c r="F1175">
        <v>0</v>
      </c>
      <c r="G1175">
        <v>133.30000000000001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 x14ac:dyDescent="0.25">
      <c r="A1176" t="s">
        <v>40</v>
      </c>
      <c r="B1176">
        <v>138</v>
      </c>
      <c r="C1176">
        <v>415</v>
      </c>
      <c r="D1176" t="s">
        <v>29</v>
      </c>
      <c r="E1176" t="s">
        <v>29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8.7100000000000009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 x14ac:dyDescent="0.25">
      <c r="A1177" t="s">
        <v>80</v>
      </c>
      <c r="B1177">
        <v>103</v>
      </c>
      <c r="C1177">
        <v>510</v>
      </c>
      <c r="D1177" t="s">
        <v>29</v>
      </c>
      <c r="E1177" t="s">
        <v>29</v>
      </c>
      <c r="F1177">
        <v>0</v>
      </c>
      <c r="G1177">
        <v>160.19999999999999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9.6999999999999993</v>
      </c>
      <c r="Q1177">
        <v>2</v>
      </c>
      <c r="R1177">
        <v>2.62</v>
      </c>
      <c r="S1177">
        <v>0</v>
      </c>
      <c r="T1177" t="b">
        <v>0</v>
      </c>
    </row>
    <row r="1178" spans="1:20" x14ac:dyDescent="0.25">
      <c r="A1178" t="s">
        <v>61</v>
      </c>
      <c r="B1178">
        <v>116</v>
      </c>
      <c r="C1178">
        <v>415</v>
      </c>
      <c r="D1178" t="s">
        <v>29</v>
      </c>
      <c r="E1178" t="s">
        <v>30</v>
      </c>
      <c r="F1178">
        <v>44</v>
      </c>
      <c r="G1178">
        <v>230.6</v>
      </c>
      <c r="H1178">
        <v>94</v>
      </c>
      <c r="I1178">
        <v>39.200000000000003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 x14ac:dyDescent="0.25">
      <c r="A1179" t="s">
        <v>53</v>
      </c>
      <c r="B1179">
        <v>189</v>
      </c>
      <c r="C1179">
        <v>408</v>
      </c>
      <c r="D1179" t="s">
        <v>29</v>
      </c>
      <c r="E1179" t="s">
        <v>29</v>
      </c>
      <c r="F1179">
        <v>0</v>
      </c>
      <c r="G1179">
        <v>227.4</v>
      </c>
      <c r="H1179">
        <v>84</v>
      </c>
      <c r="I1179">
        <v>38.659999999999997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 x14ac:dyDescent="0.25">
      <c r="A1180" t="s">
        <v>68</v>
      </c>
      <c r="B1180">
        <v>161</v>
      </c>
      <c r="C1180">
        <v>415</v>
      </c>
      <c r="D1180" t="s">
        <v>29</v>
      </c>
      <c r="E1180" t="s">
        <v>29</v>
      </c>
      <c r="F1180">
        <v>0</v>
      </c>
      <c r="G1180">
        <v>72.8</v>
      </c>
      <c r="H1180">
        <v>120</v>
      </c>
      <c r="I1180">
        <v>12.38</v>
      </c>
      <c r="J1180">
        <v>267.10000000000002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 x14ac:dyDescent="0.25">
      <c r="A1181" t="s">
        <v>76</v>
      </c>
      <c r="B1181">
        <v>1</v>
      </c>
      <c r="C1181">
        <v>415</v>
      </c>
      <c r="D1181" t="s">
        <v>29</v>
      </c>
      <c r="E1181" t="s">
        <v>29</v>
      </c>
      <c r="F1181">
        <v>0</v>
      </c>
      <c r="G1181">
        <v>196.1</v>
      </c>
      <c r="H1181">
        <v>107</v>
      </c>
      <c r="I1181">
        <v>33.340000000000003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 x14ac:dyDescent="0.25">
      <c r="A1182" t="s">
        <v>59</v>
      </c>
      <c r="B1182">
        <v>89</v>
      </c>
      <c r="C1182">
        <v>408</v>
      </c>
      <c r="D1182" t="s">
        <v>29</v>
      </c>
      <c r="E1182" t="s">
        <v>29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 x14ac:dyDescent="0.25">
      <c r="A1183" t="s">
        <v>70</v>
      </c>
      <c r="B1183">
        <v>64</v>
      </c>
      <c r="C1183">
        <v>408</v>
      </c>
      <c r="D1183" t="s">
        <v>29</v>
      </c>
      <c r="E1183" t="s">
        <v>29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9.6999999999999993</v>
      </c>
      <c r="Q1183">
        <v>5</v>
      </c>
      <c r="R1183">
        <v>2.62</v>
      </c>
      <c r="S1183">
        <v>1</v>
      </c>
      <c r="T1183" t="b">
        <v>0</v>
      </c>
    </row>
    <row r="1184" spans="1:20" x14ac:dyDescent="0.25">
      <c r="A1184" t="s">
        <v>40</v>
      </c>
      <c r="B1184">
        <v>126</v>
      </c>
      <c r="C1184">
        <v>415</v>
      </c>
      <c r="D1184" t="s">
        <v>29</v>
      </c>
      <c r="E1184" t="s">
        <v>30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153.80000000000001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 x14ac:dyDescent="0.25">
      <c r="A1185" t="s">
        <v>39</v>
      </c>
      <c r="B1185">
        <v>129</v>
      </c>
      <c r="C1185">
        <v>415</v>
      </c>
      <c r="D1185" t="s">
        <v>29</v>
      </c>
      <c r="E1185" t="s">
        <v>29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4.9000000000000004</v>
      </c>
      <c r="Q1185">
        <v>10</v>
      </c>
      <c r="R1185">
        <v>1.32</v>
      </c>
      <c r="S1185">
        <v>2</v>
      </c>
      <c r="T1185" t="b">
        <v>0</v>
      </c>
    </row>
    <row r="1186" spans="1:20" x14ac:dyDescent="0.25">
      <c r="A1186" t="s">
        <v>42</v>
      </c>
      <c r="B1186">
        <v>128</v>
      </c>
      <c r="C1186">
        <v>510</v>
      </c>
      <c r="D1186" t="s">
        <v>29</v>
      </c>
      <c r="E1186" t="s">
        <v>30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 x14ac:dyDescent="0.25">
      <c r="A1187" t="s">
        <v>40</v>
      </c>
      <c r="B1187">
        <v>114</v>
      </c>
      <c r="C1187">
        <v>510</v>
      </c>
      <c r="D1187" t="s">
        <v>29</v>
      </c>
      <c r="E1187" t="s">
        <v>29</v>
      </c>
      <c r="F1187">
        <v>0</v>
      </c>
      <c r="G1187">
        <v>189.8</v>
      </c>
      <c r="H1187">
        <v>101</v>
      </c>
      <c r="I1187">
        <v>32.270000000000003</v>
      </c>
      <c r="J1187">
        <v>147.69999999999999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 x14ac:dyDescent="0.25">
      <c r="A1188" t="s">
        <v>51</v>
      </c>
      <c r="B1188">
        <v>50</v>
      </c>
      <c r="C1188">
        <v>408</v>
      </c>
      <c r="D1188" t="s">
        <v>29</v>
      </c>
      <c r="E1188" t="s">
        <v>29</v>
      </c>
      <c r="F1188">
        <v>0</v>
      </c>
      <c r="G1188">
        <v>154.69999999999999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9.4600000000000009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 x14ac:dyDescent="0.25">
      <c r="A1189" t="s">
        <v>37</v>
      </c>
      <c r="B1189">
        <v>86</v>
      </c>
      <c r="C1189">
        <v>415</v>
      </c>
      <c r="D1189" t="s">
        <v>29</v>
      </c>
      <c r="E1189" t="s">
        <v>29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 x14ac:dyDescent="0.25">
      <c r="A1190" t="s">
        <v>41</v>
      </c>
      <c r="B1190">
        <v>96</v>
      </c>
      <c r="C1190">
        <v>408</v>
      </c>
      <c r="D1190" t="s">
        <v>29</v>
      </c>
      <c r="E1190" t="s">
        <v>29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 x14ac:dyDescent="0.25">
      <c r="A1191" t="s">
        <v>37</v>
      </c>
      <c r="B1191">
        <v>57</v>
      </c>
      <c r="C1191">
        <v>415</v>
      </c>
      <c r="D1191" t="s">
        <v>30</v>
      </c>
      <c r="E1191" t="s">
        <v>30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 x14ac:dyDescent="0.25">
      <c r="A1192" t="s">
        <v>31</v>
      </c>
      <c r="B1192">
        <v>65</v>
      </c>
      <c r="C1192">
        <v>510</v>
      </c>
      <c r="D1192" t="s">
        <v>29</v>
      </c>
      <c r="E1192" t="s">
        <v>29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2.2999999999999998</v>
      </c>
      <c r="S1192">
        <v>2</v>
      </c>
      <c r="T1192" t="b">
        <v>0</v>
      </c>
    </row>
    <row r="1193" spans="1:20" x14ac:dyDescent="0.25">
      <c r="A1193" t="s">
        <v>55</v>
      </c>
      <c r="B1193">
        <v>136</v>
      </c>
      <c r="C1193">
        <v>415</v>
      </c>
      <c r="D1193" t="s">
        <v>29</v>
      </c>
      <c r="E1193" t="s">
        <v>29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 x14ac:dyDescent="0.25">
      <c r="A1194" t="s">
        <v>66</v>
      </c>
      <c r="B1194">
        <v>116</v>
      </c>
      <c r="C1194">
        <v>408</v>
      </c>
      <c r="D1194" t="s">
        <v>29</v>
      </c>
      <c r="E1194" t="s">
        <v>29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 x14ac:dyDescent="0.25">
      <c r="A1195" t="s">
        <v>48</v>
      </c>
      <c r="B1195">
        <v>93</v>
      </c>
      <c r="C1195">
        <v>408</v>
      </c>
      <c r="D1195" t="s">
        <v>29</v>
      </c>
      <c r="E1195" t="s">
        <v>29</v>
      </c>
      <c r="F1195">
        <v>0</v>
      </c>
      <c r="G1195">
        <v>152.4</v>
      </c>
      <c r="H1195">
        <v>74</v>
      </c>
      <c r="I1195">
        <v>25.91</v>
      </c>
      <c r="J1195">
        <v>274.60000000000002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 x14ac:dyDescent="0.25">
      <c r="A1196" t="s">
        <v>66</v>
      </c>
      <c r="B1196">
        <v>142</v>
      </c>
      <c r="C1196">
        <v>510</v>
      </c>
      <c r="D1196" t="s">
        <v>29</v>
      </c>
      <c r="E1196" t="s">
        <v>30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9.4600000000000009</v>
      </c>
      <c r="P1196">
        <v>9.1999999999999993</v>
      </c>
      <c r="Q1196">
        <v>3</v>
      </c>
      <c r="R1196">
        <v>2.48</v>
      </c>
      <c r="S1196">
        <v>3</v>
      </c>
      <c r="T1196" t="b">
        <v>0</v>
      </c>
    </row>
    <row r="1197" spans="1:20" x14ac:dyDescent="0.25">
      <c r="A1197" t="s">
        <v>70</v>
      </c>
      <c r="B1197">
        <v>92</v>
      </c>
      <c r="C1197">
        <v>408</v>
      </c>
      <c r="D1197" t="s">
        <v>29</v>
      </c>
      <c r="E1197" t="s">
        <v>29</v>
      </c>
      <c r="F1197">
        <v>0</v>
      </c>
      <c r="G1197">
        <v>265.60000000000002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2.3199999999999998</v>
      </c>
      <c r="S1197">
        <v>1</v>
      </c>
      <c r="T1197" t="b">
        <v>0</v>
      </c>
    </row>
    <row r="1198" spans="1:20" x14ac:dyDescent="0.25">
      <c r="A1198" t="s">
        <v>78</v>
      </c>
      <c r="B1198">
        <v>70</v>
      </c>
      <c r="C1198">
        <v>415</v>
      </c>
      <c r="D1198" t="s">
        <v>29</v>
      </c>
      <c r="E1198" t="s">
        <v>29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 x14ac:dyDescent="0.25">
      <c r="A1199" t="s">
        <v>36</v>
      </c>
      <c r="B1199">
        <v>22</v>
      </c>
      <c r="C1199">
        <v>408</v>
      </c>
      <c r="D1199" t="s">
        <v>29</v>
      </c>
      <c r="E1199" t="s">
        <v>30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18.850000000000001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1.1299999999999999</v>
      </c>
      <c r="S1199">
        <v>1</v>
      </c>
      <c r="T1199" t="b">
        <v>0</v>
      </c>
    </row>
    <row r="1200" spans="1:20" x14ac:dyDescent="0.25">
      <c r="A1200" t="s">
        <v>68</v>
      </c>
      <c r="B1200">
        <v>37</v>
      </c>
      <c r="C1200">
        <v>415</v>
      </c>
      <c r="D1200" t="s">
        <v>29</v>
      </c>
      <c r="E1200" t="s">
        <v>29</v>
      </c>
      <c r="F1200">
        <v>0</v>
      </c>
      <c r="G1200">
        <v>233.7</v>
      </c>
      <c r="H1200">
        <v>114</v>
      </c>
      <c r="I1200">
        <v>39.729999999999997</v>
      </c>
      <c r="J1200">
        <v>207.9</v>
      </c>
      <c r="K1200">
        <v>109</v>
      </c>
      <c r="L1200">
        <v>17.670000000000002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 x14ac:dyDescent="0.25">
      <c r="A1201" t="s">
        <v>35</v>
      </c>
      <c r="B1201">
        <v>51</v>
      </c>
      <c r="C1201">
        <v>415</v>
      </c>
      <c r="D1201" t="s">
        <v>29</v>
      </c>
      <c r="E1201" t="s">
        <v>29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 x14ac:dyDescent="0.25">
      <c r="A1202" t="s">
        <v>51</v>
      </c>
      <c r="B1202">
        <v>174</v>
      </c>
      <c r="C1202">
        <v>408</v>
      </c>
      <c r="D1202" t="s">
        <v>29</v>
      </c>
      <c r="E1202" t="s">
        <v>29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10.130000000000001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 x14ac:dyDescent="0.25">
      <c r="A1203" t="s">
        <v>61</v>
      </c>
      <c r="B1203">
        <v>68</v>
      </c>
      <c r="C1203">
        <v>415</v>
      </c>
      <c r="D1203" t="s">
        <v>29</v>
      </c>
      <c r="E1203" t="s">
        <v>29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 x14ac:dyDescent="0.25">
      <c r="A1204" t="s">
        <v>45</v>
      </c>
      <c r="B1204">
        <v>130</v>
      </c>
      <c r="C1204">
        <v>415</v>
      </c>
      <c r="D1204" t="s">
        <v>29</v>
      </c>
      <c r="E1204" t="s">
        <v>29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17.010000000000002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 x14ac:dyDescent="0.25">
      <c r="A1205" t="s">
        <v>80</v>
      </c>
      <c r="B1205">
        <v>134</v>
      </c>
      <c r="C1205">
        <v>408</v>
      </c>
      <c r="D1205" t="s">
        <v>29</v>
      </c>
      <c r="E1205" t="s">
        <v>29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19.440000000000001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 x14ac:dyDescent="0.25">
      <c r="A1206" t="s">
        <v>71</v>
      </c>
      <c r="B1206">
        <v>108</v>
      </c>
      <c r="C1206">
        <v>415</v>
      </c>
      <c r="D1206" t="s">
        <v>29</v>
      </c>
      <c r="E1206" t="s">
        <v>30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 x14ac:dyDescent="0.25">
      <c r="A1207" t="s">
        <v>67</v>
      </c>
      <c r="B1207">
        <v>103</v>
      </c>
      <c r="C1207">
        <v>415</v>
      </c>
      <c r="D1207" t="s">
        <v>29</v>
      </c>
      <c r="E1207" t="s">
        <v>29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9.9700000000000006</v>
      </c>
      <c r="P1207">
        <v>9.6999999999999993</v>
      </c>
      <c r="Q1207">
        <v>2</v>
      </c>
      <c r="R1207">
        <v>2.62</v>
      </c>
      <c r="S1207">
        <v>3</v>
      </c>
      <c r="T1207" t="b">
        <v>0</v>
      </c>
    </row>
    <row r="1208" spans="1:20" x14ac:dyDescent="0.25">
      <c r="A1208" t="s">
        <v>79</v>
      </c>
      <c r="B1208">
        <v>62</v>
      </c>
      <c r="C1208">
        <v>510</v>
      </c>
      <c r="D1208" t="s">
        <v>29</v>
      </c>
      <c r="E1208" t="s">
        <v>29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 x14ac:dyDescent="0.25">
      <c r="A1209" t="s">
        <v>68</v>
      </c>
      <c r="B1209">
        <v>162</v>
      </c>
      <c r="C1209">
        <v>415</v>
      </c>
      <c r="D1209" t="s">
        <v>29</v>
      </c>
      <c r="E1209" t="s">
        <v>29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 x14ac:dyDescent="0.25">
      <c r="A1210" t="s">
        <v>41</v>
      </c>
      <c r="B1210">
        <v>42</v>
      </c>
      <c r="C1210">
        <v>415</v>
      </c>
      <c r="D1210" t="s">
        <v>29</v>
      </c>
      <c r="E1210" t="s">
        <v>29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 x14ac:dyDescent="0.25">
      <c r="A1211" t="s">
        <v>33</v>
      </c>
      <c r="B1211">
        <v>155</v>
      </c>
      <c r="C1211">
        <v>415</v>
      </c>
      <c r="D1211" t="s">
        <v>29</v>
      </c>
      <c r="E1211" t="s">
        <v>30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9.6199999999999992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 x14ac:dyDescent="0.25">
      <c r="A1212" t="s">
        <v>39</v>
      </c>
      <c r="B1212">
        <v>36</v>
      </c>
      <c r="C1212">
        <v>510</v>
      </c>
      <c r="D1212" t="s">
        <v>29</v>
      </c>
      <c r="E1212" t="s">
        <v>29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20.010000000000002</v>
      </c>
      <c r="M1212">
        <v>221.3</v>
      </c>
      <c r="N1212">
        <v>108</v>
      </c>
      <c r="O1212">
        <v>9.9600000000000009</v>
      </c>
      <c r="P1212">
        <v>9</v>
      </c>
      <c r="Q1212">
        <v>2</v>
      </c>
      <c r="R1212">
        <v>2.4300000000000002</v>
      </c>
      <c r="S1212">
        <v>0</v>
      </c>
      <c r="T1212" t="b">
        <v>0</v>
      </c>
    </row>
    <row r="1213" spans="1:20" x14ac:dyDescent="0.25">
      <c r="A1213" t="s">
        <v>31</v>
      </c>
      <c r="B1213">
        <v>143</v>
      </c>
      <c r="C1213">
        <v>415</v>
      </c>
      <c r="D1213" t="s">
        <v>29</v>
      </c>
      <c r="E1213" t="s">
        <v>29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 x14ac:dyDescent="0.25">
      <c r="A1214" t="s">
        <v>39</v>
      </c>
      <c r="B1214">
        <v>81</v>
      </c>
      <c r="C1214">
        <v>510</v>
      </c>
      <c r="D1214" t="s">
        <v>29</v>
      </c>
      <c r="E1214" t="s">
        <v>29</v>
      </c>
      <c r="F1214">
        <v>0</v>
      </c>
      <c r="G1214">
        <v>261.39999999999998</v>
      </c>
      <c r="H1214">
        <v>141</v>
      </c>
      <c r="I1214">
        <v>44.44</v>
      </c>
      <c r="J1214">
        <v>215.7</v>
      </c>
      <c r="K1214">
        <v>102</v>
      </c>
      <c r="L1214">
        <v>18.329999999999998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 x14ac:dyDescent="0.25">
      <c r="A1215" t="s">
        <v>59</v>
      </c>
      <c r="B1215">
        <v>138</v>
      </c>
      <c r="C1215">
        <v>510</v>
      </c>
      <c r="D1215" t="s">
        <v>30</v>
      </c>
      <c r="E1215" t="s">
        <v>29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 x14ac:dyDescent="0.25">
      <c r="A1216" t="s">
        <v>62</v>
      </c>
      <c r="B1216">
        <v>103</v>
      </c>
      <c r="C1216">
        <v>415</v>
      </c>
      <c r="D1216" t="s">
        <v>29</v>
      </c>
      <c r="E1216" t="s">
        <v>30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 x14ac:dyDescent="0.25">
      <c r="A1217" t="s">
        <v>49</v>
      </c>
      <c r="B1217">
        <v>127</v>
      </c>
      <c r="C1217">
        <v>510</v>
      </c>
      <c r="D1217" t="s">
        <v>30</v>
      </c>
      <c r="E1217" t="s">
        <v>29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 x14ac:dyDescent="0.25">
      <c r="A1218" t="s">
        <v>58</v>
      </c>
      <c r="B1218">
        <v>136</v>
      </c>
      <c r="C1218">
        <v>510</v>
      </c>
      <c r="D1218" t="s">
        <v>29</v>
      </c>
      <c r="E1218" t="s">
        <v>29</v>
      </c>
      <c r="F1218">
        <v>0</v>
      </c>
      <c r="G1218">
        <v>259.39999999999998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 x14ac:dyDescent="0.25">
      <c r="A1219" t="s">
        <v>72</v>
      </c>
      <c r="B1219">
        <v>99</v>
      </c>
      <c r="C1219">
        <v>415</v>
      </c>
      <c r="D1219" t="s">
        <v>29</v>
      </c>
      <c r="E1219" t="s">
        <v>29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 x14ac:dyDescent="0.25">
      <c r="A1220" t="s">
        <v>56</v>
      </c>
      <c r="B1220">
        <v>95</v>
      </c>
      <c r="C1220">
        <v>415</v>
      </c>
      <c r="D1220" t="s">
        <v>29</v>
      </c>
      <c r="E1220" t="s">
        <v>29</v>
      </c>
      <c r="F1220">
        <v>0</v>
      </c>
      <c r="G1220">
        <v>69.400000000000006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 x14ac:dyDescent="0.25">
      <c r="A1221" t="s">
        <v>72</v>
      </c>
      <c r="B1221">
        <v>118</v>
      </c>
      <c r="C1221">
        <v>408</v>
      </c>
      <c r="D1221" t="s">
        <v>30</v>
      </c>
      <c r="E1221" t="s">
        <v>30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158.69999999999999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 x14ac:dyDescent="0.25">
      <c r="A1222" t="s">
        <v>37</v>
      </c>
      <c r="B1222">
        <v>113</v>
      </c>
      <c r="C1222">
        <v>415</v>
      </c>
      <c r="D1222" t="s">
        <v>29</v>
      </c>
      <c r="E1222" t="s">
        <v>29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8.8800000000000008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 x14ac:dyDescent="0.25">
      <c r="A1223" t="s">
        <v>77</v>
      </c>
      <c r="B1223">
        <v>128</v>
      </c>
      <c r="C1223">
        <v>408</v>
      </c>
      <c r="D1223" t="s">
        <v>30</v>
      </c>
      <c r="E1223" t="s">
        <v>29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8.6300000000000008</v>
      </c>
      <c r="M1223">
        <v>152.30000000000001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 x14ac:dyDescent="0.25">
      <c r="A1224" t="s">
        <v>78</v>
      </c>
      <c r="B1224">
        <v>117</v>
      </c>
      <c r="C1224">
        <v>408</v>
      </c>
      <c r="D1224" t="s">
        <v>29</v>
      </c>
      <c r="E1224" t="s">
        <v>29</v>
      </c>
      <c r="F1224">
        <v>0</v>
      </c>
      <c r="G1224">
        <v>102.3</v>
      </c>
      <c r="H1224">
        <v>100</v>
      </c>
      <c r="I1224">
        <v>17.39</v>
      </c>
      <c r="J1224">
        <v>135.19999999999999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 x14ac:dyDescent="0.25">
      <c r="A1225" t="s">
        <v>40</v>
      </c>
      <c r="B1225">
        <v>48</v>
      </c>
      <c r="C1225">
        <v>415</v>
      </c>
      <c r="D1225" t="s">
        <v>29</v>
      </c>
      <c r="E1225" t="s">
        <v>30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2.0499999999999998</v>
      </c>
      <c r="S1225">
        <v>3</v>
      </c>
      <c r="T1225" t="b">
        <v>0</v>
      </c>
    </row>
    <row r="1226" spans="1:20" x14ac:dyDescent="0.25">
      <c r="A1226" t="s">
        <v>69</v>
      </c>
      <c r="B1226">
        <v>81</v>
      </c>
      <c r="C1226">
        <v>510</v>
      </c>
      <c r="D1226" t="s">
        <v>30</v>
      </c>
      <c r="E1226" t="s">
        <v>29</v>
      </c>
      <c r="F1226">
        <v>0</v>
      </c>
      <c r="G1226">
        <v>227.4</v>
      </c>
      <c r="H1226">
        <v>105</v>
      </c>
      <c r="I1226">
        <v>38.659999999999997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 x14ac:dyDescent="0.25">
      <c r="A1227" t="s">
        <v>73</v>
      </c>
      <c r="B1227">
        <v>140</v>
      </c>
      <c r="C1227">
        <v>408</v>
      </c>
      <c r="D1227" t="s">
        <v>29</v>
      </c>
      <c r="E1227" t="s">
        <v>29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8.1999999999999993</v>
      </c>
      <c r="Q1227">
        <v>2</v>
      </c>
      <c r="R1227">
        <v>2.21</v>
      </c>
      <c r="S1227">
        <v>1</v>
      </c>
      <c r="T1227" t="b">
        <v>0</v>
      </c>
    </row>
    <row r="1228" spans="1:20" x14ac:dyDescent="0.25">
      <c r="A1228" t="s">
        <v>31</v>
      </c>
      <c r="B1228">
        <v>107</v>
      </c>
      <c r="C1228">
        <v>510</v>
      </c>
      <c r="D1228" t="s">
        <v>29</v>
      </c>
      <c r="E1228" t="s">
        <v>30</v>
      </c>
      <c r="F1228">
        <v>38</v>
      </c>
      <c r="G1228">
        <v>219.4</v>
      </c>
      <c r="H1228">
        <v>92</v>
      </c>
      <c r="I1228">
        <v>37.299999999999997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 x14ac:dyDescent="0.25">
      <c r="A1229" t="s">
        <v>36</v>
      </c>
      <c r="B1229">
        <v>56</v>
      </c>
      <c r="C1229">
        <v>415</v>
      </c>
      <c r="D1229" t="s">
        <v>29</v>
      </c>
      <c r="E1229" t="s">
        <v>29</v>
      </c>
      <c r="F1229">
        <v>0</v>
      </c>
      <c r="G1229">
        <v>137.19999999999999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8.1999999999999993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 x14ac:dyDescent="0.25">
      <c r="A1230" t="s">
        <v>44</v>
      </c>
      <c r="B1230">
        <v>159</v>
      </c>
      <c r="C1230">
        <v>415</v>
      </c>
      <c r="D1230" t="s">
        <v>29</v>
      </c>
      <c r="E1230" t="s">
        <v>29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 x14ac:dyDescent="0.25">
      <c r="A1231" t="s">
        <v>55</v>
      </c>
      <c r="B1231">
        <v>102</v>
      </c>
      <c r="C1231">
        <v>415</v>
      </c>
      <c r="D1231" t="s">
        <v>29</v>
      </c>
      <c r="E1231" t="s">
        <v>29</v>
      </c>
      <c r="F1231">
        <v>0</v>
      </c>
      <c r="G1231">
        <v>271.10000000000002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 x14ac:dyDescent="0.25">
      <c r="A1232" t="s">
        <v>75</v>
      </c>
      <c r="B1232">
        <v>106</v>
      </c>
      <c r="C1232">
        <v>408</v>
      </c>
      <c r="D1232" t="s">
        <v>29</v>
      </c>
      <c r="E1232" t="s">
        <v>29</v>
      </c>
      <c r="F1232">
        <v>0</v>
      </c>
      <c r="G1232">
        <v>52.2</v>
      </c>
      <c r="H1232">
        <v>106</v>
      </c>
      <c r="I1232">
        <v>8.8699999999999992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 x14ac:dyDescent="0.25">
      <c r="A1233" t="s">
        <v>74</v>
      </c>
      <c r="B1233">
        <v>225</v>
      </c>
      <c r="C1233">
        <v>415</v>
      </c>
      <c r="D1233" t="s">
        <v>29</v>
      </c>
      <c r="E1233" t="s">
        <v>29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9.4499999999999993</v>
      </c>
      <c r="P1233">
        <v>8.6999999999999993</v>
      </c>
      <c r="Q1233">
        <v>3</v>
      </c>
      <c r="R1233">
        <v>2.35</v>
      </c>
      <c r="S1233">
        <v>0</v>
      </c>
      <c r="T1233" t="b">
        <v>1</v>
      </c>
    </row>
    <row r="1234" spans="1:20" x14ac:dyDescent="0.25">
      <c r="A1234" t="s">
        <v>46</v>
      </c>
      <c r="B1234">
        <v>86</v>
      </c>
      <c r="C1234">
        <v>415</v>
      </c>
      <c r="D1234" t="s">
        <v>29</v>
      </c>
      <c r="E1234" t="s">
        <v>29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 x14ac:dyDescent="0.25">
      <c r="A1235" t="s">
        <v>41</v>
      </c>
      <c r="B1235">
        <v>169</v>
      </c>
      <c r="C1235">
        <v>415</v>
      </c>
      <c r="D1235" t="s">
        <v>29</v>
      </c>
      <c r="E1235" t="s">
        <v>29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 x14ac:dyDescent="0.25">
      <c r="A1236" t="s">
        <v>47</v>
      </c>
      <c r="B1236">
        <v>122</v>
      </c>
      <c r="C1236">
        <v>510</v>
      </c>
      <c r="D1236" t="s">
        <v>29</v>
      </c>
      <c r="E1236" t="s">
        <v>30</v>
      </c>
      <c r="F1236">
        <v>22</v>
      </c>
      <c r="G1236">
        <v>204.5</v>
      </c>
      <c r="H1236">
        <v>92</v>
      </c>
      <c r="I1236">
        <v>34.770000000000003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2.3199999999999998</v>
      </c>
      <c r="S1236">
        <v>2</v>
      </c>
      <c r="T1236" t="b">
        <v>0</v>
      </c>
    </row>
    <row r="1237" spans="1:20" x14ac:dyDescent="0.25">
      <c r="A1237" t="s">
        <v>66</v>
      </c>
      <c r="B1237">
        <v>52</v>
      </c>
      <c r="C1237">
        <v>415</v>
      </c>
      <c r="D1237" t="s">
        <v>29</v>
      </c>
      <c r="E1237" t="s">
        <v>30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289.39999999999998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 x14ac:dyDescent="0.25">
      <c r="A1238" t="s">
        <v>59</v>
      </c>
      <c r="B1238">
        <v>79</v>
      </c>
      <c r="C1238">
        <v>415</v>
      </c>
      <c r="D1238" t="s">
        <v>29</v>
      </c>
      <c r="E1238" t="s">
        <v>30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256.60000000000002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 x14ac:dyDescent="0.25">
      <c r="A1239" t="s">
        <v>74</v>
      </c>
      <c r="B1239">
        <v>135</v>
      </c>
      <c r="C1239">
        <v>415</v>
      </c>
      <c r="D1239" t="s">
        <v>29</v>
      </c>
      <c r="E1239" t="s">
        <v>29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 x14ac:dyDescent="0.25">
      <c r="A1240" t="s">
        <v>62</v>
      </c>
      <c r="B1240">
        <v>37</v>
      </c>
      <c r="C1240">
        <v>415</v>
      </c>
      <c r="D1240" t="s">
        <v>29</v>
      </c>
      <c r="E1240" t="s">
        <v>29</v>
      </c>
      <c r="F1240">
        <v>0</v>
      </c>
      <c r="G1240">
        <v>191.1</v>
      </c>
      <c r="H1240">
        <v>69</v>
      </c>
      <c r="I1240">
        <v>32.49</v>
      </c>
      <c r="J1240">
        <v>129.19999999999999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 x14ac:dyDescent="0.25">
      <c r="A1241" t="s">
        <v>66</v>
      </c>
      <c r="B1241">
        <v>161</v>
      </c>
      <c r="C1241">
        <v>415</v>
      </c>
      <c r="D1241" t="s">
        <v>29</v>
      </c>
      <c r="E1241" t="s">
        <v>30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 x14ac:dyDescent="0.25">
      <c r="A1242" t="s">
        <v>80</v>
      </c>
      <c r="B1242">
        <v>123</v>
      </c>
      <c r="C1242">
        <v>415</v>
      </c>
      <c r="D1242" t="s">
        <v>29</v>
      </c>
      <c r="E1242" t="s">
        <v>29</v>
      </c>
      <c r="F1242">
        <v>0</v>
      </c>
      <c r="G1242">
        <v>128.69999999999999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 x14ac:dyDescent="0.25">
      <c r="A1243" t="s">
        <v>37</v>
      </c>
      <c r="B1243">
        <v>80</v>
      </c>
      <c r="C1243">
        <v>415</v>
      </c>
      <c r="D1243" t="s">
        <v>29</v>
      </c>
      <c r="E1243" t="s">
        <v>30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 x14ac:dyDescent="0.25">
      <c r="A1244" t="s">
        <v>37</v>
      </c>
      <c r="B1244">
        <v>94</v>
      </c>
      <c r="C1244">
        <v>415</v>
      </c>
      <c r="D1244" t="s">
        <v>29</v>
      </c>
      <c r="E1244" t="s">
        <v>29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279.60000000000002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 x14ac:dyDescent="0.25">
      <c r="A1245" t="s">
        <v>48</v>
      </c>
      <c r="B1245">
        <v>105</v>
      </c>
      <c r="C1245">
        <v>415</v>
      </c>
      <c r="D1245" t="s">
        <v>29</v>
      </c>
      <c r="E1245" t="s">
        <v>30</v>
      </c>
      <c r="F1245">
        <v>27</v>
      </c>
      <c r="G1245">
        <v>141.19999999999999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274.39999999999998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 x14ac:dyDescent="0.25">
      <c r="A1246" t="s">
        <v>64</v>
      </c>
      <c r="B1246">
        <v>73</v>
      </c>
      <c r="C1246">
        <v>415</v>
      </c>
      <c r="D1246" t="s">
        <v>29</v>
      </c>
      <c r="E1246" t="s">
        <v>30</v>
      </c>
      <c r="F1246">
        <v>31</v>
      </c>
      <c r="G1246">
        <v>194.4</v>
      </c>
      <c r="H1246">
        <v>104</v>
      </c>
      <c r="I1246">
        <v>33.049999999999997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 x14ac:dyDescent="0.25">
      <c r="A1247" t="s">
        <v>48</v>
      </c>
      <c r="B1247">
        <v>112</v>
      </c>
      <c r="C1247">
        <v>415</v>
      </c>
      <c r="D1247" t="s">
        <v>29</v>
      </c>
      <c r="E1247" t="s">
        <v>29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281.39999999999998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 x14ac:dyDescent="0.25">
      <c r="A1248" t="s">
        <v>50</v>
      </c>
      <c r="B1248">
        <v>179</v>
      </c>
      <c r="C1248">
        <v>408</v>
      </c>
      <c r="D1248" t="s">
        <v>29</v>
      </c>
      <c r="E1248" t="s">
        <v>29</v>
      </c>
      <c r="F1248">
        <v>0</v>
      </c>
      <c r="G1248">
        <v>234.5</v>
      </c>
      <c r="H1248">
        <v>134</v>
      </c>
      <c r="I1248">
        <v>39.869999999999997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 x14ac:dyDescent="0.25">
      <c r="A1249" t="s">
        <v>35</v>
      </c>
      <c r="B1249">
        <v>57</v>
      </c>
      <c r="C1249">
        <v>510</v>
      </c>
      <c r="D1249" t="s">
        <v>29</v>
      </c>
      <c r="E1249" t="s">
        <v>29</v>
      </c>
      <c r="F1249">
        <v>0</v>
      </c>
      <c r="G1249">
        <v>154.19999999999999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 x14ac:dyDescent="0.25">
      <c r="A1250" t="s">
        <v>47</v>
      </c>
      <c r="B1250">
        <v>127</v>
      </c>
      <c r="C1250">
        <v>415</v>
      </c>
      <c r="D1250" t="s">
        <v>29</v>
      </c>
      <c r="E1250" t="s">
        <v>30</v>
      </c>
      <c r="F1250">
        <v>14</v>
      </c>
      <c r="G1250">
        <v>143.19999999999999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9.9700000000000006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 x14ac:dyDescent="0.25">
      <c r="A1251" t="s">
        <v>63</v>
      </c>
      <c r="B1251">
        <v>122</v>
      </c>
      <c r="C1251">
        <v>415</v>
      </c>
      <c r="D1251" t="s">
        <v>30</v>
      </c>
      <c r="E1251" t="s">
        <v>30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8.3699999999999992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 x14ac:dyDescent="0.25">
      <c r="A1252" t="s">
        <v>40</v>
      </c>
      <c r="B1252">
        <v>33</v>
      </c>
      <c r="C1252">
        <v>510</v>
      </c>
      <c r="D1252" t="s">
        <v>29</v>
      </c>
      <c r="E1252" t="s">
        <v>30</v>
      </c>
      <c r="F1252">
        <v>35</v>
      </c>
      <c r="G1252">
        <v>161.9</v>
      </c>
      <c r="H1252">
        <v>85</v>
      </c>
      <c r="I1252">
        <v>27.52</v>
      </c>
      <c r="J1252">
        <v>151.19999999999999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2.2999999999999998</v>
      </c>
      <c r="S1252">
        <v>1</v>
      </c>
      <c r="T1252" t="b">
        <v>0</v>
      </c>
    </row>
    <row r="1253" spans="1:20" x14ac:dyDescent="0.25">
      <c r="A1253" t="s">
        <v>42</v>
      </c>
      <c r="B1253">
        <v>94</v>
      </c>
      <c r="C1253">
        <v>408</v>
      </c>
      <c r="D1253" t="s">
        <v>29</v>
      </c>
      <c r="E1253" t="s">
        <v>29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 x14ac:dyDescent="0.25">
      <c r="A1254" t="s">
        <v>61</v>
      </c>
      <c r="B1254">
        <v>100</v>
      </c>
      <c r="C1254">
        <v>408</v>
      </c>
      <c r="D1254" t="s">
        <v>29</v>
      </c>
      <c r="E1254" t="s">
        <v>29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10.199999999999999</v>
      </c>
      <c r="Q1254">
        <v>10</v>
      </c>
      <c r="R1254">
        <v>2.75</v>
      </c>
      <c r="S1254">
        <v>1</v>
      </c>
      <c r="T1254" t="b">
        <v>0</v>
      </c>
    </row>
    <row r="1255" spans="1:20" x14ac:dyDescent="0.25">
      <c r="A1255" t="s">
        <v>78</v>
      </c>
      <c r="B1255">
        <v>106</v>
      </c>
      <c r="C1255">
        <v>415</v>
      </c>
      <c r="D1255" t="s">
        <v>29</v>
      </c>
      <c r="E1255" t="s">
        <v>29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8.8000000000000007</v>
      </c>
      <c r="Q1255">
        <v>5</v>
      </c>
      <c r="R1255">
        <v>2.38</v>
      </c>
      <c r="S1255">
        <v>2</v>
      </c>
      <c r="T1255" t="b">
        <v>0</v>
      </c>
    </row>
    <row r="1256" spans="1:20" x14ac:dyDescent="0.25">
      <c r="A1256" t="s">
        <v>69</v>
      </c>
      <c r="B1256">
        <v>148</v>
      </c>
      <c r="C1256">
        <v>415</v>
      </c>
      <c r="D1256" t="s">
        <v>29</v>
      </c>
      <c r="E1256" t="s">
        <v>30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 x14ac:dyDescent="0.25">
      <c r="A1257" t="s">
        <v>57</v>
      </c>
      <c r="B1257">
        <v>120</v>
      </c>
      <c r="C1257">
        <v>415</v>
      </c>
      <c r="D1257" t="s">
        <v>29</v>
      </c>
      <c r="E1257" t="s">
        <v>30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 x14ac:dyDescent="0.25">
      <c r="A1258" t="s">
        <v>61</v>
      </c>
      <c r="B1258">
        <v>91</v>
      </c>
      <c r="C1258">
        <v>415</v>
      </c>
      <c r="D1258" t="s">
        <v>29</v>
      </c>
      <c r="E1258" t="s">
        <v>30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 x14ac:dyDescent="0.25">
      <c r="A1259" t="s">
        <v>65</v>
      </c>
      <c r="B1259">
        <v>86</v>
      </c>
      <c r="C1259">
        <v>510</v>
      </c>
      <c r="D1259" t="s">
        <v>29</v>
      </c>
      <c r="E1259" t="s">
        <v>29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2.4300000000000002</v>
      </c>
      <c r="S1259">
        <v>1</v>
      </c>
      <c r="T1259" t="b">
        <v>0</v>
      </c>
    </row>
    <row r="1260" spans="1:20" x14ac:dyDescent="0.25">
      <c r="A1260" t="s">
        <v>63</v>
      </c>
      <c r="B1260">
        <v>78</v>
      </c>
      <c r="C1260">
        <v>415</v>
      </c>
      <c r="D1260" t="s">
        <v>29</v>
      </c>
      <c r="E1260" t="s">
        <v>30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9.5299999999999994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 x14ac:dyDescent="0.25">
      <c r="A1261" t="s">
        <v>40</v>
      </c>
      <c r="B1261">
        <v>94</v>
      </c>
      <c r="C1261">
        <v>510</v>
      </c>
      <c r="D1261" t="s">
        <v>29</v>
      </c>
      <c r="E1261" t="s">
        <v>29</v>
      </c>
      <c r="F1261">
        <v>0</v>
      </c>
      <c r="G1261">
        <v>163.5</v>
      </c>
      <c r="H1261">
        <v>136</v>
      </c>
      <c r="I1261">
        <v>27.8</v>
      </c>
      <c r="J1261">
        <v>143.69999999999999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 x14ac:dyDescent="0.25">
      <c r="A1262" t="s">
        <v>32</v>
      </c>
      <c r="B1262">
        <v>85</v>
      </c>
      <c r="C1262">
        <v>415</v>
      </c>
      <c r="D1262" t="s">
        <v>29</v>
      </c>
      <c r="E1262" t="s">
        <v>29</v>
      </c>
      <c r="F1262">
        <v>0</v>
      </c>
      <c r="G1262">
        <v>236.9</v>
      </c>
      <c r="H1262">
        <v>93</v>
      </c>
      <c r="I1262">
        <v>40.270000000000003</v>
      </c>
      <c r="J1262">
        <v>197.7</v>
      </c>
      <c r="K1262">
        <v>113</v>
      </c>
      <c r="L1262">
        <v>16.8</v>
      </c>
      <c r="M1262">
        <v>309.10000000000002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 x14ac:dyDescent="0.25">
      <c r="A1263" t="s">
        <v>80</v>
      </c>
      <c r="B1263">
        <v>89</v>
      </c>
      <c r="C1263">
        <v>415</v>
      </c>
      <c r="D1263" t="s">
        <v>29</v>
      </c>
      <c r="E1263" t="s">
        <v>29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 x14ac:dyDescent="0.25">
      <c r="A1264" t="s">
        <v>43</v>
      </c>
      <c r="B1264">
        <v>128</v>
      </c>
      <c r="C1264">
        <v>415</v>
      </c>
      <c r="D1264" t="s">
        <v>29</v>
      </c>
      <c r="E1264" t="s">
        <v>29</v>
      </c>
      <c r="F1264">
        <v>0</v>
      </c>
      <c r="G1264">
        <v>216</v>
      </c>
      <c r="H1264">
        <v>111</v>
      </c>
      <c r="I1264">
        <v>36.72</v>
      </c>
      <c r="J1264">
        <v>153.69999999999999</v>
      </c>
      <c r="K1264">
        <v>115</v>
      </c>
      <c r="L1264">
        <v>13.06</v>
      </c>
      <c r="M1264">
        <v>227</v>
      </c>
      <c r="N1264">
        <v>74</v>
      </c>
      <c r="O1264">
        <v>10.220000000000001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 x14ac:dyDescent="0.25">
      <c r="A1265" t="s">
        <v>64</v>
      </c>
      <c r="B1265">
        <v>115</v>
      </c>
      <c r="C1265">
        <v>415</v>
      </c>
      <c r="D1265" t="s">
        <v>30</v>
      </c>
      <c r="E1265" t="s">
        <v>29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16.899999999999999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 x14ac:dyDescent="0.25">
      <c r="A1266" t="s">
        <v>54</v>
      </c>
      <c r="B1266">
        <v>76</v>
      </c>
      <c r="C1266">
        <v>415</v>
      </c>
      <c r="D1266" t="s">
        <v>29</v>
      </c>
      <c r="E1266" t="s">
        <v>29</v>
      </c>
      <c r="F1266">
        <v>0</v>
      </c>
      <c r="G1266">
        <v>143.69999999999999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 x14ac:dyDescent="0.25">
      <c r="A1267" t="s">
        <v>55</v>
      </c>
      <c r="B1267">
        <v>75</v>
      </c>
      <c r="C1267">
        <v>415</v>
      </c>
      <c r="D1267" t="s">
        <v>29</v>
      </c>
      <c r="E1267" t="s">
        <v>30</v>
      </c>
      <c r="F1267">
        <v>39</v>
      </c>
      <c r="G1267">
        <v>198.2</v>
      </c>
      <c r="H1267">
        <v>107</v>
      </c>
      <c r="I1267">
        <v>33.69</v>
      </c>
      <c r="J1267">
        <v>280.39999999999998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 x14ac:dyDescent="0.25">
      <c r="A1268" t="s">
        <v>79</v>
      </c>
      <c r="B1268">
        <v>82</v>
      </c>
      <c r="C1268">
        <v>415</v>
      </c>
      <c r="D1268" t="s">
        <v>29</v>
      </c>
      <c r="E1268" t="s">
        <v>30</v>
      </c>
      <c r="F1268">
        <v>29</v>
      </c>
      <c r="G1268">
        <v>163.80000000000001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8.8000000000000007</v>
      </c>
      <c r="Q1268">
        <v>2</v>
      </c>
      <c r="R1268">
        <v>2.38</v>
      </c>
      <c r="S1268">
        <v>2</v>
      </c>
      <c r="T1268" t="b">
        <v>0</v>
      </c>
    </row>
    <row r="1269" spans="1:20" x14ac:dyDescent="0.25">
      <c r="A1269" t="s">
        <v>60</v>
      </c>
      <c r="B1269">
        <v>87</v>
      </c>
      <c r="C1269">
        <v>510</v>
      </c>
      <c r="D1269" t="s">
        <v>29</v>
      </c>
      <c r="E1269" t="s">
        <v>29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17.420000000000002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 x14ac:dyDescent="0.25">
      <c r="A1270" t="s">
        <v>74</v>
      </c>
      <c r="B1270">
        <v>115</v>
      </c>
      <c r="C1270">
        <v>415</v>
      </c>
      <c r="D1270" t="s">
        <v>29</v>
      </c>
      <c r="E1270" t="s">
        <v>30</v>
      </c>
      <c r="F1270">
        <v>26</v>
      </c>
      <c r="G1270">
        <v>155.19999999999999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261.60000000000002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 x14ac:dyDescent="0.25">
      <c r="A1271" t="s">
        <v>56</v>
      </c>
      <c r="B1271">
        <v>99</v>
      </c>
      <c r="C1271">
        <v>510</v>
      </c>
      <c r="D1271" t="s">
        <v>30</v>
      </c>
      <c r="E1271" t="s">
        <v>29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 x14ac:dyDescent="0.25">
      <c r="A1272" t="s">
        <v>42</v>
      </c>
      <c r="B1272">
        <v>121</v>
      </c>
      <c r="C1272">
        <v>415</v>
      </c>
      <c r="D1272" t="s">
        <v>30</v>
      </c>
      <c r="E1272" t="s">
        <v>30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8.6999999999999993</v>
      </c>
      <c r="Q1272">
        <v>4</v>
      </c>
      <c r="R1272">
        <v>2.35</v>
      </c>
      <c r="S1272">
        <v>3</v>
      </c>
      <c r="T1272" t="b">
        <v>0</v>
      </c>
    </row>
    <row r="1273" spans="1:20" x14ac:dyDescent="0.25">
      <c r="A1273" t="s">
        <v>37</v>
      </c>
      <c r="B1273">
        <v>54</v>
      </c>
      <c r="C1273">
        <v>510</v>
      </c>
      <c r="D1273" t="s">
        <v>29</v>
      </c>
      <c r="E1273" t="s">
        <v>30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150.30000000000001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 x14ac:dyDescent="0.25">
      <c r="A1274" t="s">
        <v>80</v>
      </c>
      <c r="B1274">
        <v>95</v>
      </c>
      <c r="C1274">
        <v>415</v>
      </c>
      <c r="D1274" t="s">
        <v>29</v>
      </c>
      <c r="E1274" t="s">
        <v>29</v>
      </c>
      <c r="F1274">
        <v>0</v>
      </c>
      <c r="G1274">
        <v>198.4</v>
      </c>
      <c r="H1274">
        <v>113</v>
      </c>
      <c r="I1274">
        <v>33.729999999999997</v>
      </c>
      <c r="J1274">
        <v>235.9</v>
      </c>
      <c r="K1274">
        <v>144</v>
      </c>
      <c r="L1274">
        <v>20.05</v>
      </c>
      <c r="M1274">
        <v>325.60000000000002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 x14ac:dyDescent="0.25">
      <c r="A1275" t="s">
        <v>58</v>
      </c>
      <c r="B1275">
        <v>163</v>
      </c>
      <c r="C1275">
        <v>408</v>
      </c>
      <c r="D1275" t="s">
        <v>29</v>
      </c>
      <c r="E1275" t="s">
        <v>30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 x14ac:dyDescent="0.25">
      <c r="A1276" t="s">
        <v>42</v>
      </c>
      <c r="B1276">
        <v>57</v>
      </c>
      <c r="C1276">
        <v>415</v>
      </c>
      <c r="D1276" t="s">
        <v>29</v>
      </c>
      <c r="E1276" t="s">
        <v>29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285.39999999999998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 x14ac:dyDescent="0.25">
      <c r="A1277" t="s">
        <v>38</v>
      </c>
      <c r="B1277">
        <v>104</v>
      </c>
      <c r="C1277">
        <v>408</v>
      </c>
      <c r="D1277" t="s">
        <v>30</v>
      </c>
      <c r="E1277" t="s">
        <v>29</v>
      </c>
      <c r="F1277">
        <v>0</v>
      </c>
      <c r="G1277">
        <v>160.4</v>
      </c>
      <c r="H1277">
        <v>73</v>
      </c>
      <c r="I1277">
        <v>27.27</v>
      </c>
      <c r="J1277">
        <v>293.89999999999998</v>
      </c>
      <c r="K1277">
        <v>103</v>
      </c>
      <c r="L1277">
        <v>24.98</v>
      </c>
      <c r="M1277">
        <v>306.60000000000002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 x14ac:dyDescent="0.25">
      <c r="A1278" t="s">
        <v>38</v>
      </c>
      <c r="B1278">
        <v>83</v>
      </c>
      <c r="C1278">
        <v>415</v>
      </c>
      <c r="D1278" t="s">
        <v>29</v>
      </c>
      <c r="E1278" t="s">
        <v>30</v>
      </c>
      <c r="F1278">
        <v>20</v>
      </c>
      <c r="G1278">
        <v>95</v>
      </c>
      <c r="H1278">
        <v>89</v>
      </c>
      <c r="I1278">
        <v>16.149999999999999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9.0299999999999994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 x14ac:dyDescent="0.25">
      <c r="A1279" t="s">
        <v>67</v>
      </c>
      <c r="B1279">
        <v>141</v>
      </c>
      <c r="C1279">
        <v>415</v>
      </c>
      <c r="D1279" t="s">
        <v>29</v>
      </c>
      <c r="E1279" t="s">
        <v>29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 x14ac:dyDescent="0.25">
      <c r="A1280" t="s">
        <v>34</v>
      </c>
      <c r="B1280">
        <v>95</v>
      </c>
      <c r="C1280">
        <v>415</v>
      </c>
      <c r="D1280" t="s">
        <v>29</v>
      </c>
      <c r="E1280" t="s">
        <v>29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 x14ac:dyDescent="0.25">
      <c r="A1281" t="s">
        <v>40</v>
      </c>
      <c r="B1281">
        <v>184</v>
      </c>
      <c r="C1281">
        <v>415</v>
      </c>
      <c r="D1281" t="s">
        <v>29</v>
      </c>
      <c r="E1281" t="s">
        <v>29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 x14ac:dyDescent="0.25">
      <c r="A1282" t="s">
        <v>80</v>
      </c>
      <c r="B1282">
        <v>74</v>
      </c>
      <c r="C1282">
        <v>408</v>
      </c>
      <c r="D1282" t="s">
        <v>29</v>
      </c>
      <c r="E1282" t="s">
        <v>29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280.39999999999998</v>
      </c>
      <c r="N1282">
        <v>77</v>
      </c>
      <c r="O1282">
        <v>12.62</v>
      </c>
      <c r="P1282">
        <v>7.6</v>
      </c>
      <c r="Q1282">
        <v>3</v>
      </c>
      <c r="R1282">
        <v>2.0499999999999998</v>
      </c>
      <c r="S1282">
        <v>2</v>
      </c>
      <c r="T1282" t="b">
        <v>0</v>
      </c>
    </row>
    <row r="1283" spans="1:20" x14ac:dyDescent="0.25">
      <c r="A1283" t="s">
        <v>76</v>
      </c>
      <c r="B1283">
        <v>67</v>
      </c>
      <c r="C1283">
        <v>415</v>
      </c>
      <c r="D1283" t="s">
        <v>29</v>
      </c>
      <c r="E1283" t="s">
        <v>29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 x14ac:dyDescent="0.25">
      <c r="A1284" t="s">
        <v>41</v>
      </c>
      <c r="B1284">
        <v>104</v>
      </c>
      <c r="C1284">
        <v>415</v>
      </c>
      <c r="D1284" t="s">
        <v>30</v>
      </c>
      <c r="E1284" t="s">
        <v>29</v>
      </c>
      <c r="F1284">
        <v>0</v>
      </c>
      <c r="G1284">
        <v>148.19999999999999</v>
      </c>
      <c r="H1284">
        <v>108</v>
      </c>
      <c r="I1284">
        <v>25.19</v>
      </c>
      <c r="J1284">
        <v>161.80000000000001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 x14ac:dyDescent="0.25">
      <c r="A1285" t="s">
        <v>51</v>
      </c>
      <c r="B1285">
        <v>149</v>
      </c>
      <c r="C1285">
        <v>415</v>
      </c>
      <c r="D1285" t="s">
        <v>29</v>
      </c>
      <c r="E1285" t="s">
        <v>29</v>
      </c>
      <c r="F1285">
        <v>0</v>
      </c>
      <c r="G1285">
        <v>119.2</v>
      </c>
      <c r="H1285">
        <v>88</v>
      </c>
      <c r="I1285">
        <v>20.260000000000002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9.2100000000000009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 x14ac:dyDescent="0.25">
      <c r="A1286" t="s">
        <v>79</v>
      </c>
      <c r="B1286">
        <v>154</v>
      </c>
      <c r="C1286">
        <v>408</v>
      </c>
      <c r="D1286" t="s">
        <v>29</v>
      </c>
      <c r="E1286" t="s">
        <v>30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 x14ac:dyDescent="0.25">
      <c r="A1287" t="s">
        <v>75</v>
      </c>
      <c r="B1287">
        <v>138</v>
      </c>
      <c r="C1287">
        <v>510</v>
      </c>
      <c r="D1287" t="s">
        <v>29</v>
      </c>
      <c r="E1287" t="s">
        <v>30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 x14ac:dyDescent="0.25">
      <c r="A1288" t="s">
        <v>28</v>
      </c>
      <c r="B1288">
        <v>117</v>
      </c>
      <c r="C1288">
        <v>415</v>
      </c>
      <c r="D1288" t="s">
        <v>29</v>
      </c>
      <c r="E1288" t="s">
        <v>29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 x14ac:dyDescent="0.25">
      <c r="A1289" t="s">
        <v>72</v>
      </c>
      <c r="B1289">
        <v>130</v>
      </c>
      <c r="C1289">
        <v>408</v>
      </c>
      <c r="D1289" t="s">
        <v>29</v>
      </c>
      <c r="E1289" t="s">
        <v>29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 x14ac:dyDescent="0.25">
      <c r="A1290" t="s">
        <v>38</v>
      </c>
      <c r="B1290">
        <v>73</v>
      </c>
      <c r="C1290">
        <v>415</v>
      </c>
      <c r="D1290" t="s">
        <v>29</v>
      </c>
      <c r="E1290" t="s">
        <v>29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 x14ac:dyDescent="0.25">
      <c r="A1291" t="s">
        <v>57</v>
      </c>
      <c r="B1291">
        <v>100</v>
      </c>
      <c r="C1291">
        <v>510</v>
      </c>
      <c r="D1291" t="s">
        <v>29</v>
      </c>
      <c r="E1291" t="s">
        <v>30</v>
      </c>
      <c r="F1291">
        <v>38</v>
      </c>
      <c r="G1291">
        <v>224.7</v>
      </c>
      <c r="H1291">
        <v>121</v>
      </c>
      <c r="I1291">
        <v>38.200000000000003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9.8000000000000007</v>
      </c>
      <c r="Q1291">
        <v>6</v>
      </c>
      <c r="R1291">
        <v>2.65</v>
      </c>
      <c r="S1291">
        <v>0</v>
      </c>
      <c r="T1291" t="b">
        <v>0</v>
      </c>
    </row>
    <row r="1292" spans="1:20" x14ac:dyDescent="0.25">
      <c r="A1292" t="s">
        <v>64</v>
      </c>
      <c r="B1292">
        <v>149</v>
      </c>
      <c r="C1292">
        <v>510</v>
      </c>
      <c r="D1292" t="s">
        <v>29</v>
      </c>
      <c r="E1292" t="s">
        <v>29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2.3199999999999998</v>
      </c>
      <c r="S1292">
        <v>1</v>
      </c>
      <c r="T1292" t="b">
        <v>0</v>
      </c>
    </row>
    <row r="1293" spans="1:20" x14ac:dyDescent="0.25">
      <c r="A1293" t="s">
        <v>31</v>
      </c>
      <c r="B1293">
        <v>29</v>
      </c>
      <c r="C1293">
        <v>408</v>
      </c>
      <c r="D1293" t="s">
        <v>29</v>
      </c>
      <c r="E1293" t="s">
        <v>29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 x14ac:dyDescent="0.25">
      <c r="A1294" t="s">
        <v>49</v>
      </c>
      <c r="B1294">
        <v>131</v>
      </c>
      <c r="C1294">
        <v>510</v>
      </c>
      <c r="D1294" t="s">
        <v>29</v>
      </c>
      <c r="E1294" t="s">
        <v>29</v>
      </c>
      <c r="F1294">
        <v>0</v>
      </c>
      <c r="G1294">
        <v>110.9</v>
      </c>
      <c r="H1294">
        <v>74</v>
      </c>
      <c r="I1294">
        <v>18.850000000000001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4.2699999999999996</v>
      </c>
      <c r="S1294">
        <v>1</v>
      </c>
      <c r="T1294" t="b">
        <v>0</v>
      </c>
    </row>
    <row r="1295" spans="1:20" x14ac:dyDescent="0.25">
      <c r="A1295" t="s">
        <v>32</v>
      </c>
      <c r="B1295">
        <v>153</v>
      </c>
      <c r="C1295">
        <v>510</v>
      </c>
      <c r="D1295" t="s">
        <v>29</v>
      </c>
      <c r="E1295" t="s">
        <v>29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 x14ac:dyDescent="0.25">
      <c r="A1296" t="s">
        <v>79</v>
      </c>
      <c r="B1296">
        <v>84</v>
      </c>
      <c r="C1296">
        <v>510</v>
      </c>
      <c r="D1296" t="s">
        <v>29</v>
      </c>
      <c r="E1296" t="s">
        <v>29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130.19999999999999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 x14ac:dyDescent="0.25">
      <c r="A1297" t="s">
        <v>57</v>
      </c>
      <c r="B1297">
        <v>133</v>
      </c>
      <c r="C1297">
        <v>510</v>
      </c>
      <c r="D1297" t="s">
        <v>29</v>
      </c>
      <c r="E1297" t="s">
        <v>29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 x14ac:dyDescent="0.25">
      <c r="A1298" t="s">
        <v>70</v>
      </c>
      <c r="B1298">
        <v>87</v>
      </c>
      <c r="C1298">
        <v>415</v>
      </c>
      <c r="D1298" t="s">
        <v>29</v>
      </c>
      <c r="E1298" t="s">
        <v>29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 x14ac:dyDescent="0.25">
      <c r="A1299" t="s">
        <v>36</v>
      </c>
      <c r="B1299">
        <v>72</v>
      </c>
      <c r="C1299">
        <v>415</v>
      </c>
      <c r="D1299" t="s">
        <v>29</v>
      </c>
      <c r="E1299" t="s">
        <v>29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9.4499999999999993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 x14ac:dyDescent="0.25">
      <c r="A1300" t="s">
        <v>66</v>
      </c>
      <c r="B1300">
        <v>65</v>
      </c>
      <c r="C1300">
        <v>510</v>
      </c>
      <c r="D1300" t="s">
        <v>29</v>
      </c>
      <c r="E1300" t="s">
        <v>30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9.4499999999999993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 x14ac:dyDescent="0.25">
      <c r="A1301" t="s">
        <v>46</v>
      </c>
      <c r="B1301">
        <v>74</v>
      </c>
      <c r="C1301">
        <v>415</v>
      </c>
      <c r="D1301" t="s">
        <v>29</v>
      </c>
      <c r="E1301" t="s">
        <v>29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 x14ac:dyDescent="0.25">
      <c r="A1302" t="s">
        <v>55</v>
      </c>
      <c r="B1302">
        <v>116</v>
      </c>
      <c r="C1302">
        <v>408</v>
      </c>
      <c r="D1302" t="s">
        <v>29</v>
      </c>
      <c r="E1302" t="s">
        <v>29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9.6999999999999993</v>
      </c>
      <c r="Q1302">
        <v>2</v>
      </c>
      <c r="R1302">
        <v>2.62</v>
      </c>
      <c r="S1302">
        <v>6</v>
      </c>
      <c r="T1302" t="b">
        <v>1</v>
      </c>
    </row>
    <row r="1303" spans="1:20" x14ac:dyDescent="0.25">
      <c r="A1303" t="s">
        <v>56</v>
      </c>
      <c r="B1303">
        <v>68</v>
      </c>
      <c r="C1303">
        <v>510</v>
      </c>
      <c r="D1303" t="s">
        <v>29</v>
      </c>
      <c r="E1303" t="s">
        <v>29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 x14ac:dyDescent="0.25">
      <c r="A1304" t="s">
        <v>76</v>
      </c>
      <c r="B1304">
        <v>68</v>
      </c>
      <c r="C1304">
        <v>415</v>
      </c>
      <c r="D1304" t="s">
        <v>29</v>
      </c>
      <c r="E1304" t="s">
        <v>29</v>
      </c>
      <c r="F1304">
        <v>0</v>
      </c>
      <c r="G1304">
        <v>222.8</v>
      </c>
      <c r="H1304">
        <v>99</v>
      </c>
      <c r="I1304">
        <v>37.880000000000003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 x14ac:dyDescent="0.25">
      <c r="A1305" t="s">
        <v>59</v>
      </c>
      <c r="B1305">
        <v>54</v>
      </c>
      <c r="C1305">
        <v>415</v>
      </c>
      <c r="D1305" t="s">
        <v>30</v>
      </c>
      <c r="E1305" t="s">
        <v>29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20.440000000000001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 x14ac:dyDescent="0.25">
      <c r="A1306" t="s">
        <v>57</v>
      </c>
      <c r="B1306">
        <v>107</v>
      </c>
      <c r="C1306">
        <v>408</v>
      </c>
      <c r="D1306" t="s">
        <v>29</v>
      </c>
      <c r="E1306" t="s">
        <v>29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311.10000000000002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 x14ac:dyDescent="0.25">
      <c r="A1307" t="s">
        <v>66</v>
      </c>
      <c r="B1307">
        <v>173</v>
      </c>
      <c r="C1307">
        <v>510</v>
      </c>
      <c r="D1307" t="s">
        <v>29</v>
      </c>
      <c r="E1307" t="s">
        <v>29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151.19999999999999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 x14ac:dyDescent="0.25">
      <c r="A1308" t="s">
        <v>36</v>
      </c>
      <c r="B1308">
        <v>110</v>
      </c>
      <c r="C1308">
        <v>408</v>
      </c>
      <c r="D1308" t="s">
        <v>29</v>
      </c>
      <c r="E1308" t="s">
        <v>29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 x14ac:dyDescent="0.25">
      <c r="A1309" t="s">
        <v>43</v>
      </c>
      <c r="B1309">
        <v>102</v>
      </c>
      <c r="C1309">
        <v>510</v>
      </c>
      <c r="D1309" t="s">
        <v>29</v>
      </c>
      <c r="E1309" t="s">
        <v>29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270.39999999999998</v>
      </c>
      <c r="N1309">
        <v>110</v>
      </c>
      <c r="O1309">
        <v>12.17</v>
      </c>
      <c r="P1309">
        <v>8.5</v>
      </c>
      <c r="Q1309">
        <v>5</v>
      </c>
      <c r="R1309">
        <v>2.2999999999999998</v>
      </c>
      <c r="S1309">
        <v>0</v>
      </c>
      <c r="T1309" t="b">
        <v>0</v>
      </c>
    </row>
    <row r="1310" spans="1:20" x14ac:dyDescent="0.25">
      <c r="A1310" t="s">
        <v>33</v>
      </c>
      <c r="B1310">
        <v>91</v>
      </c>
      <c r="C1310">
        <v>408</v>
      </c>
      <c r="D1310" t="s">
        <v>29</v>
      </c>
      <c r="E1310" t="s">
        <v>30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 x14ac:dyDescent="0.25">
      <c r="A1311" t="s">
        <v>80</v>
      </c>
      <c r="B1311">
        <v>64</v>
      </c>
      <c r="C1311">
        <v>415</v>
      </c>
      <c r="D1311" t="s">
        <v>30</v>
      </c>
      <c r="E1311" t="s">
        <v>29</v>
      </c>
      <c r="F1311">
        <v>0</v>
      </c>
      <c r="G1311">
        <v>225.3</v>
      </c>
      <c r="H1311">
        <v>134</v>
      </c>
      <c r="I1311">
        <v>38.299999999999997</v>
      </c>
      <c r="J1311">
        <v>108.2</v>
      </c>
      <c r="K1311">
        <v>87</v>
      </c>
      <c r="L1311">
        <v>9.1999999999999993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 x14ac:dyDescent="0.25">
      <c r="A1312" t="s">
        <v>76</v>
      </c>
      <c r="B1312">
        <v>176</v>
      </c>
      <c r="C1312">
        <v>415</v>
      </c>
      <c r="D1312" t="s">
        <v>29</v>
      </c>
      <c r="E1312" t="s">
        <v>30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 x14ac:dyDescent="0.25">
      <c r="A1313" t="s">
        <v>57</v>
      </c>
      <c r="B1313">
        <v>84</v>
      </c>
      <c r="C1313">
        <v>510</v>
      </c>
      <c r="D1313" t="s">
        <v>29</v>
      </c>
      <c r="E1313" t="s">
        <v>30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 x14ac:dyDescent="0.25">
      <c r="A1314" t="s">
        <v>63</v>
      </c>
      <c r="B1314">
        <v>138</v>
      </c>
      <c r="C1314">
        <v>510</v>
      </c>
      <c r="D1314" t="s">
        <v>29</v>
      </c>
      <c r="E1314" t="s">
        <v>29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 x14ac:dyDescent="0.25">
      <c r="A1315" t="s">
        <v>79</v>
      </c>
      <c r="B1315">
        <v>101</v>
      </c>
      <c r="C1315">
        <v>415</v>
      </c>
      <c r="D1315" t="s">
        <v>29</v>
      </c>
      <c r="E1315" t="s">
        <v>30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19.690000000000001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 x14ac:dyDescent="0.25">
      <c r="A1316" t="s">
        <v>43</v>
      </c>
      <c r="B1316">
        <v>136</v>
      </c>
      <c r="C1316">
        <v>408</v>
      </c>
      <c r="D1316" t="s">
        <v>29</v>
      </c>
      <c r="E1316" t="s">
        <v>29</v>
      </c>
      <c r="F1316">
        <v>0</v>
      </c>
      <c r="G1316">
        <v>142.30000000000001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 x14ac:dyDescent="0.25">
      <c r="A1317" t="s">
        <v>61</v>
      </c>
      <c r="B1317">
        <v>111</v>
      </c>
      <c r="C1317">
        <v>510</v>
      </c>
      <c r="D1317" t="s">
        <v>29</v>
      </c>
      <c r="E1317" t="s">
        <v>29</v>
      </c>
      <c r="F1317">
        <v>0</v>
      </c>
      <c r="G1317">
        <v>191.3</v>
      </c>
      <c r="H1317">
        <v>80</v>
      </c>
      <c r="I1317">
        <v>32.520000000000003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 x14ac:dyDescent="0.25">
      <c r="A1318" t="s">
        <v>35</v>
      </c>
      <c r="B1318">
        <v>132</v>
      </c>
      <c r="C1318">
        <v>408</v>
      </c>
      <c r="D1318" t="s">
        <v>29</v>
      </c>
      <c r="E1318" t="s">
        <v>30</v>
      </c>
      <c r="F1318">
        <v>36</v>
      </c>
      <c r="G1318">
        <v>201.9</v>
      </c>
      <c r="H1318">
        <v>93</v>
      </c>
      <c r="I1318">
        <v>34.32</v>
      </c>
      <c r="J1318">
        <v>156.30000000000001</v>
      </c>
      <c r="K1318">
        <v>75</v>
      </c>
      <c r="L1318">
        <v>13.29</v>
      </c>
      <c r="M1318">
        <v>131.30000000000001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 x14ac:dyDescent="0.25">
      <c r="A1319" t="s">
        <v>63</v>
      </c>
      <c r="B1319">
        <v>128</v>
      </c>
      <c r="C1319">
        <v>415</v>
      </c>
      <c r="D1319" t="s">
        <v>29</v>
      </c>
      <c r="E1319" t="s">
        <v>29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143.19999999999999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 x14ac:dyDescent="0.25">
      <c r="A1320" t="s">
        <v>34</v>
      </c>
      <c r="B1320">
        <v>92</v>
      </c>
      <c r="C1320">
        <v>408</v>
      </c>
      <c r="D1320" t="s">
        <v>29</v>
      </c>
      <c r="E1320" t="s">
        <v>30</v>
      </c>
      <c r="F1320">
        <v>38</v>
      </c>
      <c r="G1320">
        <v>242.2</v>
      </c>
      <c r="H1320">
        <v>96</v>
      </c>
      <c r="I1320">
        <v>41.17</v>
      </c>
      <c r="J1320">
        <v>159.69999999999999</v>
      </c>
      <c r="K1320">
        <v>144</v>
      </c>
      <c r="L1320">
        <v>13.57</v>
      </c>
      <c r="M1320">
        <v>210</v>
      </c>
      <c r="N1320">
        <v>108</v>
      </c>
      <c r="O1320">
        <v>9.4499999999999993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 x14ac:dyDescent="0.25">
      <c r="A1321" t="s">
        <v>34</v>
      </c>
      <c r="B1321">
        <v>197</v>
      </c>
      <c r="C1321">
        <v>415</v>
      </c>
      <c r="D1321" t="s">
        <v>30</v>
      </c>
      <c r="E1321" t="s">
        <v>29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18.899999999999999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 x14ac:dyDescent="0.25">
      <c r="A1322" t="s">
        <v>75</v>
      </c>
      <c r="B1322">
        <v>99</v>
      </c>
      <c r="C1322">
        <v>415</v>
      </c>
      <c r="D1322" t="s">
        <v>29</v>
      </c>
      <c r="E1322" t="s">
        <v>30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20.260000000000002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 x14ac:dyDescent="0.25">
      <c r="A1323" t="s">
        <v>45</v>
      </c>
      <c r="B1323">
        <v>106</v>
      </c>
      <c r="C1323">
        <v>415</v>
      </c>
      <c r="D1323" t="s">
        <v>29</v>
      </c>
      <c r="E1323" t="s">
        <v>30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 x14ac:dyDescent="0.25">
      <c r="A1324" t="s">
        <v>61</v>
      </c>
      <c r="B1324">
        <v>78</v>
      </c>
      <c r="C1324">
        <v>415</v>
      </c>
      <c r="D1324" t="s">
        <v>29</v>
      </c>
      <c r="E1324" t="s">
        <v>29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10.199999999999999</v>
      </c>
      <c r="Q1324">
        <v>1</v>
      </c>
      <c r="R1324">
        <v>2.75</v>
      </c>
      <c r="S1324">
        <v>0</v>
      </c>
      <c r="T1324" t="b">
        <v>0</v>
      </c>
    </row>
    <row r="1325" spans="1:20" x14ac:dyDescent="0.25">
      <c r="A1325" t="s">
        <v>70</v>
      </c>
      <c r="B1325">
        <v>98</v>
      </c>
      <c r="C1325">
        <v>408</v>
      </c>
      <c r="D1325" t="s">
        <v>29</v>
      </c>
      <c r="E1325" t="s">
        <v>29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8.5299999999999994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 x14ac:dyDescent="0.25">
      <c r="A1326" t="s">
        <v>73</v>
      </c>
      <c r="B1326">
        <v>17</v>
      </c>
      <c r="C1326">
        <v>408</v>
      </c>
      <c r="D1326" t="s">
        <v>29</v>
      </c>
      <c r="E1326" t="s">
        <v>30</v>
      </c>
      <c r="F1326">
        <v>35</v>
      </c>
      <c r="G1326">
        <v>198.5</v>
      </c>
      <c r="H1326">
        <v>123</v>
      </c>
      <c r="I1326">
        <v>33.75</v>
      </c>
      <c r="J1326">
        <v>270.60000000000002</v>
      </c>
      <c r="K1326">
        <v>74</v>
      </c>
      <c r="L1326">
        <v>23</v>
      </c>
      <c r="M1326">
        <v>209.9</v>
      </c>
      <c r="N1326">
        <v>130</v>
      </c>
      <c r="O1326">
        <v>9.4499999999999993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 x14ac:dyDescent="0.25">
      <c r="A1327" t="s">
        <v>51</v>
      </c>
      <c r="B1327">
        <v>56</v>
      </c>
      <c r="C1327">
        <v>415</v>
      </c>
      <c r="D1327" t="s">
        <v>29</v>
      </c>
      <c r="E1327" t="s">
        <v>30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266.60000000000002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 x14ac:dyDescent="0.25">
      <c r="A1328" t="s">
        <v>43</v>
      </c>
      <c r="B1328">
        <v>84</v>
      </c>
      <c r="C1328">
        <v>415</v>
      </c>
      <c r="D1328" t="s">
        <v>29</v>
      </c>
      <c r="E1328" t="s">
        <v>29</v>
      </c>
      <c r="F1328">
        <v>0</v>
      </c>
      <c r="G1328">
        <v>130.19999999999999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305.39999999999998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 x14ac:dyDescent="0.25">
      <c r="A1329" t="s">
        <v>42</v>
      </c>
      <c r="B1329">
        <v>95</v>
      </c>
      <c r="C1329">
        <v>510</v>
      </c>
      <c r="D1329" t="s">
        <v>29</v>
      </c>
      <c r="E1329" t="s">
        <v>29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 x14ac:dyDescent="0.25">
      <c r="A1330" t="s">
        <v>68</v>
      </c>
      <c r="B1330">
        <v>76</v>
      </c>
      <c r="C1330">
        <v>510</v>
      </c>
      <c r="D1330" t="s">
        <v>30</v>
      </c>
      <c r="E1330" t="s">
        <v>29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 x14ac:dyDescent="0.25">
      <c r="A1331" t="s">
        <v>37</v>
      </c>
      <c r="B1331">
        <v>93</v>
      </c>
      <c r="C1331">
        <v>415</v>
      </c>
      <c r="D1331" t="s">
        <v>29</v>
      </c>
      <c r="E1331" t="s">
        <v>29</v>
      </c>
      <c r="F1331">
        <v>0</v>
      </c>
      <c r="G1331">
        <v>141.69999999999999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10.220000000000001</v>
      </c>
      <c r="P1331">
        <v>10.199999999999999</v>
      </c>
      <c r="Q1331">
        <v>3</v>
      </c>
      <c r="R1331">
        <v>2.75</v>
      </c>
      <c r="S1331">
        <v>0</v>
      </c>
      <c r="T1331" t="b">
        <v>0</v>
      </c>
    </row>
    <row r="1332" spans="1:20" x14ac:dyDescent="0.25">
      <c r="A1332" t="s">
        <v>65</v>
      </c>
      <c r="B1332">
        <v>83</v>
      </c>
      <c r="C1332">
        <v>408</v>
      </c>
      <c r="D1332" t="s">
        <v>29</v>
      </c>
      <c r="E1332" t="s">
        <v>29</v>
      </c>
      <c r="F1332">
        <v>0</v>
      </c>
      <c r="G1332">
        <v>134.80000000000001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 x14ac:dyDescent="0.25">
      <c r="A1333" t="s">
        <v>28</v>
      </c>
      <c r="B1333">
        <v>123</v>
      </c>
      <c r="C1333">
        <v>415</v>
      </c>
      <c r="D1333" t="s">
        <v>29</v>
      </c>
      <c r="E1333" t="s">
        <v>29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2.4300000000000002</v>
      </c>
      <c r="S1333">
        <v>1</v>
      </c>
      <c r="T1333" t="b">
        <v>0</v>
      </c>
    </row>
    <row r="1334" spans="1:20" x14ac:dyDescent="0.25">
      <c r="A1334" t="s">
        <v>42</v>
      </c>
      <c r="B1334">
        <v>64</v>
      </c>
      <c r="C1334">
        <v>408</v>
      </c>
      <c r="D1334" t="s">
        <v>29</v>
      </c>
      <c r="E1334" t="s">
        <v>29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273.39999999999998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 x14ac:dyDescent="0.25">
      <c r="A1335" t="s">
        <v>33</v>
      </c>
      <c r="B1335">
        <v>82</v>
      </c>
      <c r="C1335">
        <v>510</v>
      </c>
      <c r="D1335" t="s">
        <v>29</v>
      </c>
      <c r="E1335" t="s">
        <v>29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267.10000000000002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 x14ac:dyDescent="0.25">
      <c r="A1336" t="s">
        <v>46</v>
      </c>
      <c r="B1336">
        <v>110</v>
      </c>
      <c r="C1336">
        <v>510</v>
      </c>
      <c r="D1336" t="s">
        <v>29</v>
      </c>
      <c r="E1336" t="s">
        <v>29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 x14ac:dyDescent="0.25">
      <c r="A1337" t="s">
        <v>76</v>
      </c>
      <c r="B1337">
        <v>47</v>
      </c>
      <c r="C1337">
        <v>415</v>
      </c>
      <c r="D1337" t="s">
        <v>29</v>
      </c>
      <c r="E1337" t="s">
        <v>30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 x14ac:dyDescent="0.25">
      <c r="A1338" t="s">
        <v>71</v>
      </c>
      <c r="B1338">
        <v>115</v>
      </c>
      <c r="C1338">
        <v>510</v>
      </c>
      <c r="D1338" t="s">
        <v>29</v>
      </c>
      <c r="E1338" t="s">
        <v>29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 x14ac:dyDescent="0.25">
      <c r="A1339" t="s">
        <v>77</v>
      </c>
      <c r="B1339">
        <v>69</v>
      </c>
      <c r="C1339">
        <v>415</v>
      </c>
      <c r="D1339" t="s">
        <v>29</v>
      </c>
      <c r="E1339" t="s">
        <v>29</v>
      </c>
      <c r="F1339">
        <v>0</v>
      </c>
      <c r="G1339">
        <v>143.6</v>
      </c>
      <c r="H1339">
        <v>88</v>
      </c>
      <c r="I1339">
        <v>24.41</v>
      </c>
      <c r="J1339">
        <v>141.80000000000001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 x14ac:dyDescent="0.25">
      <c r="A1340" t="s">
        <v>80</v>
      </c>
      <c r="B1340">
        <v>90</v>
      </c>
      <c r="C1340">
        <v>415</v>
      </c>
      <c r="D1340" t="s">
        <v>29</v>
      </c>
      <c r="E1340" t="s">
        <v>29</v>
      </c>
      <c r="F1340">
        <v>0</v>
      </c>
      <c r="G1340">
        <v>37.799999999999997</v>
      </c>
      <c r="H1340">
        <v>80</v>
      </c>
      <c r="I1340">
        <v>6.43</v>
      </c>
      <c r="J1340">
        <v>155.30000000000001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 x14ac:dyDescent="0.25">
      <c r="A1341" t="s">
        <v>66</v>
      </c>
      <c r="B1341">
        <v>98</v>
      </c>
      <c r="C1341">
        <v>415</v>
      </c>
      <c r="D1341" t="s">
        <v>29</v>
      </c>
      <c r="E1341" t="s">
        <v>29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 x14ac:dyDescent="0.25">
      <c r="A1342" t="s">
        <v>49</v>
      </c>
      <c r="B1342">
        <v>90</v>
      </c>
      <c r="C1342">
        <v>408</v>
      </c>
      <c r="D1342" t="s">
        <v>29</v>
      </c>
      <c r="E1342" t="s">
        <v>30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8.8800000000000008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 x14ac:dyDescent="0.25">
      <c r="A1343" t="s">
        <v>77</v>
      </c>
      <c r="B1343">
        <v>174</v>
      </c>
      <c r="C1343">
        <v>415</v>
      </c>
      <c r="D1343" t="s">
        <v>29</v>
      </c>
      <c r="E1343" t="s">
        <v>30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17.899999999999999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 x14ac:dyDescent="0.25">
      <c r="A1344" t="s">
        <v>77</v>
      </c>
      <c r="B1344">
        <v>79</v>
      </c>
      <c r="C1344">
        <v>415</v>
      </c>
      <c r="D1344" t="s">
        <v>29</v>
      </c>
      <c r="E1344" t="s">
        <v>29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264.60000000000002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 x14ac:dyDescent="0.25">
      <c r="A1345" t="s">
        <v>42</v>
      </c>
      <c r="B1345">
        <v>99</v>
      </c>
      <c r="C1345">
        <v>415</v>
      </c>
      <c r="D1345" t="s">
        <v>29</v>
      </c>
      <c r="E1345" t="s">
        <v>29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 x14ac:dyDescent="0.25">
      <c r="A1346" t="s">
        <v>41</v>
      </c>
      <c r="B1346">
        <v>114</v>
      </c>
      <c r="C1346">
        <v>415</v>
      </c>
      <c r="D1346" t="s">
        <v>29</v>
      </c>
      <c r="E1346" t="s">
        <v>29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 x14ac:dyDescent="0.25">
      <c r="A1347" t="s">
        <v>77</v>
      </c>
      <c r="B1347">
        <v>141</v>
      </c>
      <c r="C1347">
        <v>510</v>
      </c>
      <c r="D1347" t="s">
        <v>29</v>
      </c>
      <c r="E1347" t="s">
        <v>29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153.80000000000001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 x14ac:dyDescent="0.25">
      <c r="A1348" t="s">
        <v>67</v>
      </c>
      <c r="B1348">
        <v>132</v>
      </c>
      <c r="C1348">
        <v>408</v>
      </c>
      <c r="D1348" t="s">
        <v>29</v>
      </c>
      <c r="E1348" t="s">
        <v>29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 x14ac:dyDescent="0.25">
      <c r="A1349" t="s">
        <v>45</v>
      </c>
      <c r="B1349">
        <v>133</v>
      </c>
      <c r="C1349">
        <v>510</v>
      </c>
      <c r="D1349" t="s">
        <v>29</v>
      </c>
      <c r="E1349" t="s">
        <v>29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 x14ac:dyDescent="0.25">
      <c r="A1350" t="s">
        <v>44</v>
      </c>
      <c r="B1350">
        <v>133</v>
      </c>
      <c r="C1350">
        <v>408</v>
      </c>
      <c r="D1350" t="s">
        <v>29</v>
      </c>
      <c r="E1350" t="s">
        <v>29</v>
      </c>
      <c r="F1350">
        <v>0</v>
      </c>
      <c r="G1350">
        <v>221.1</v>
      </c>
      <c r="H1350">
        <v>133</v>
      </c>
      <c r="I1350">
        <v>37.590000000000003</v>
      </c>
      <c r="J1350">
        <v>160.19999999999999</v>
      </c>
      <c r="K1350">
        <v>140</v>
      </c>
      <c r="L1350">
        <v>13.62</v>
      </c>
      <c r="M1350">
        <v>161.80000000000001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 x14ac:dyDescent="0.25">
      <c r="A1351" t="s">
        <v>42</v>
      </c>
      <c r="B1351">
        <v>93</v>
      </c>
      <c r="C1351">
        <v>510</v>
      </c>
      <c r="D1351" t="s">
        <v>29</v>
      </c>
      <c r="E1351" t="s">
        <v>30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9.7799999999999994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 x14ac:dyDescent="0.25">
      <c r="A1352" t="s">
        <v>58</v>
      </c>
      <c r="B1352">
        <v>140</v>
      </c>
      <c r="C1352">
        <v>415</v>
      </c>
      <c r="D1352" t="s">
        <v>29</v>
      </c>
      <c r="E1352" t="s">
        <v>29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 x14ac:dyDescent="0.25">
      <c r="A1353" t="s">
        <v>45</v>
      </c>
      <c r="B1353">
        <v>144</v>
      </c>
      <c r="C1353">
        <v>510</v>
      </c>
      <c r="D1353" t="s">
        <v>29</v>
      </c>
      <c r="E1353" t="s">
        <v>29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 x14ac:dyDescent="0.25">
      <c r="A1354" t="s">
        <v>41</v>
      </c>
      <c r="B1354">
        <v>24</v>
      </c>
      <c r="C1354">
        <v>408</v>
      </c>
      <c r="D1354" t="s">
        <v>29</v>
      </c>
      <c r="E1354" t="s">
        <v>30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 x14ac:dyDescent="0.25">
      <c r="A1355" t="s">
        <v>55</v>
      </c>
      <c r="B1355">
        <v>54</v>
      </c>
      <c r="C1355">
        <v>415</v>
      </c>
      <c r="D1355" t="s">
        <v>29</v>
      </c>
      <c r="E1355" t="s">
        <v>29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267.60000000000002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 x14ac:dyDescent="0.25">
      <c r="A1356" t="s">
        <v>37</v>
      </c>
      <c r="B1356">
        <v>50</v>
      </c>
      <c r="C1356">
        <v>408</v>
      </c>
      <c r="D1356" t="s">
        <v>29</v>
      </c>
      <c r="E1356" t="s">
        <v>29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 x14ac:dyDescent="0.25">
      <c r="A1357" t="s">
        <v>41</v>
      </c>
      <c r="B1357">
        <v>92</v>
      </c>
      <c r="C1357">
        <v>415</v>
      </c>
      <c r="D1357" t="s">
        <v>29</v>
      </c>
      <c r="E1357" t="s">
        <v>30</v>
      </c>
      <c r="F1357">
        <v>23</v>
      </c>
      <c r="G1357">
        <v>167.4</v>
      </c>
      <c r="H1357">
        <v>83</v>
      </c>
      <c r="I1357">
        <v>28.46</v>
      </c>
      <c r="J1357">
        <v>258.60000000000002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 x14ac:dyDescent="0.25">
      <c r="A1358" t="s">
        <v>68</v>
      </c>
      <c r="B1358">
        <v>96</v>
      </c>
      <c r="C1358">
        <v>408</v>
      </c>
      <c r="D1358" t="s">
        <v>29</v>
      </c>
      <c r="E1358" t="s">
        <v>29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 x14ac:dyDescent="0.25">
      <c r="A1359" t="s">
        <v>75</v>
      </c>
      <c r="B1359">
        <v>102</v>
      </c>
      <c r="C1359">
        <v>408</v>
      </c>
      <c r="D1359" t="s">
        <v>29</v>
      </c>
      <c r="E1359" t="s">
        <v>29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 x14ac:dyDescent="0.25">
      <c r="A1360" t="s">
        <v>48</v>
      </c>
      <c r="B1360">
        <v>99</v>
      </c>
      <c r="C1360">
        <v>415</v>
      </c>
      <c r="D1360" t="s">
        <v>29</v>
      </c>
      <c r="E1360" t="s">
        <v>29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 x14ac:dyDescent="0.25">
      <c r="A1361" t="s">
        <v>72</v>
      </c>
      <c r="B1361">
        <v>36</v>
      </c>
      <c r="C1361">
        <v>510</v>
      </c>
      <c r="D1361" t="s">
        <v>29</v>
      </c>
      <c r="E1361" t="s">
        <v>30</v>
      </c>
      <c r="F1361">
        <v>25</v>
      </c>
      <c r="G1361">
        <v>152.80000000000001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 x14ac:dyDescent="0.25">
      <c r="A1362" t="s">
        <v>74</v>
      </c>
      <c r="B1362">
        <v>70</v>
      </c>
      <c r="C1362">
        <v>510</v>
      </c>
      <c r="D1362" t="s">
        <v>29</v>
      </c>
      <c r="E1362" t="s">
        <v>29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17.739999999999998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 x14ac:dyDescent="0.25">
      <c r="A1363" t="s">
        <v>47</v>
      </c>
      <c r="B1363">
        <v>109</v>
      </c>
      <c r="C1363">
        <v>415</v>
      </c>
      <c r="D1363" t="s">
        <v>30</v>
      </c>
      <c r="E1363" t="s">
        <v>29</v>
      </c>
      <c r="F1363">
        <v>0</v>
      </c>
      <c r="G1363">
        <v>268.39999999999998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297.89999999999998</v>
      </c>
      <c r="N1363">
        <v>84</v>
      </c>
      <c r="O1363">
        <v>13.41</v>
      </c>
      <c r="P1363">
        <v>9.6999999999999993</v>
      </c>
      <c r="Q1363">
        <v>8</v>
      </c>
      <c r="R1363">
        <v>2.62</v>
      </c>
      <c r="S1363">
        <v>2</v>
      </c>
      <c r="T1363" t="b">
        <v>1</v>
      </c>
    </row>
    <row r="1364" spans="1:20" x14ac:dyDescent="0.25">
      <c r="A1364" t="s">
        <v>47</v>
      </c>
      <c r="B1364">
        <v>100</v>
      </c>
      <c r="C1364">
        <v>415</v>
      </c>
      <c r="D1364" t="s">
        <v>29</v>
      </c>
      <c r="E1364" t="s">
        <v>29</v>
      </c>
      <c r="F1364">
        <v>0</v>
      </c>
      <c r="G1364">
        <v>188.5</v>
      </c>
      <c r="H1364">
        <v>152</v>
      </c>
      <c r="I1364">
        <v>32.049999999999997</v>
      </c>
      <c r="J1364">
        <v>148.30000000000001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4.0999999999999996</v>
      </c>
      <c r="S1364">
        <v>2</v>
      </c>
      <c r="T1364" t="b">
        <v>0</v>
      </c>
    </row>
    <row r="1365" spans="1:20" x14ac:dyDescent="0.25">
      <c r="A1365" t="s">
        <v>35</v>
      </c>
      <c r="B1365">
        <v>80</v>
      </c>
      <c r="C1365">
        <v>510</v>
      </c>
      <c r="D1365" t="s">
        <v>29</v>
      </c>
      <c r="E1365" t="s">
        <v>29</v>
      </c>
      <c r="F1365">
        <v>0</v>
      </c>
      <c r="G1365">
        <v>149.80000000000001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 x14ac:dyDescent="0.25">
      <c r="A1366" t="s">
        <v>75</v>
      </c>
      <c r="B1366">
        <v>100</v>
      </c>
      <c r="C1366">
        <v>510</v>
      </c>
      <c r="D1366" t="s">
        <v>29</v>
      </c>
      <c r="E1366" t="s">
        <v>29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9.4600000000000009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 x14ac:dyDescent="0.25">
      <c r="A1367" t="s">
        <v>37</v>
      </c>
      <c r="B1367">
        <v>50</v>
      </c>
      <c r="C1367">
        <v>510</v>
      </c>
      <c r="D1367" t="s">
        <v>29</v>
      </c>
      <c r="E1367" t="s">
        <v>29</v>
      </c>
      <c r="F1367">
        <v>0</v>
      </c>
      <c r="G1367">
        <v>131.69999999999999</v>
      </c>
      <c r="H1367">
        <v>108</v>
      </c>
      <c r="I1367">
        <v>22.39</v>
      </c>
      <c r="J1367">
        <v>216.5</v>
      </c>
      <c r="K1367">
        <v>103</v>
      </c>
      <c r="L1367">
        <v>18.399999999999999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 x14ac:dyDescent="0.25">
      <c r="A1368" t="s">
        <v>73</v>
      </c>
      <c r="B1368">
        <v>105</v>
      </c>
      <c r="C1368">
        <v>415</v>
      </c>
      <c r="D1368" t="s">
        <v>29</v>
      </c>
      <c r="E1368" t="s">
        <v>29</v>
      </c>
      <c r="F1368">
        <v>0</v>
      </c>
      <c r="G1368">
        <v>101.4</v>
      </c>
      <c r="H1368">
        <v>48</v>
      </c>
      <c r="I1368">
        <v>17.239999999999998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 x14ac:dyDescent="0.25">
      <c r="A1369" t="s">
        <v>43</v>
      </c>
      <c r="B1369">
        <v>113</v>
      </c>
      <c r="C1369">
        <v>415</v>
      </c>
      <c r="D1369" t="s">
        <v>29</v>
      </c>
      <c r="E1369" t="s">
        <v>30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 x14ac:dyDescent="0.25">
      <c r="A1370" t="s">
        <v>73</v>
      </c>
      <c r="B1370">
        <v>111</v>
      </c>
      <c r="C1370">
        <v>415</v>
      </c>
      <c r="D1370" t="s">
        <v>29</v>
      </c>
      <c r="E1370" t="s">
        <v>30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 x14ac:dyDescent="0.25">
      <c r="A1371" t="s">
        <v>67</v>
      </c>
      <c r="B1371">
        <v>161</v>
      </c>
      <c r="C1371">
        <v>408</v>
      </c>
      <c r="D1371" t="s">
        <v>29</v>
      </c>
      <c r="E1371" t="s">
        <v>29</v>
      </c>
      <c r="F1371">
        <v>0</v>
      </c>
      <c r="G1371">
        <v>107.5</v>
      </c>
      <c r="H1371">
        <v>121</v>
      </c>
      <c r="I1371">
        <v>18.28</v>
      </c>
      <c r="J1371">
        <v>256.39999999999998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 x14ac:dyDescent="0.25">
      <c r="A1372" t="s">
        <v>44</v>
      </c>
      <c r="B1372">
        <v>70</v>
      </c>
      <c r="C1372">
        <v>415</v>
      </c>
      <c r="D1372" t="s">
        <v>29</v>
      </c>
      <c r="E1372" t="s">
        <v>29</v>
      </c>
      <c r="F1372">
        <v>0</v>
      </c>
      <c r="G1372">
        <v>232.8</v>
      </c>
      <c r="H1372">
        <v>95</v>
      </c>
      <c r="I1372">
        <v>39.58</v>
      </c>
      <c r="J1372">
        <v>303.39999999999998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 x14ac:dyDescent="0.25">
      <c r="A1373" t="s">
        <v>78</v>
      </c>
      <c r="B1373">
        <v>97</v>
      </c>
      <c r="C1373">
        <v>415</v>
      </c>
      <c r="D1373" t="s">
        <v>29</v>
      </c>
      <c r="E1373" t="s">
        <v>30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8.3000000000000007</v>
      </c>
      <c r="Q1373">
        <v>5</v>
      </c>
      <c r="R1373">
        <v>2.2400000000000002</v>
      </c>
      <c r="S1373">
        <v>3</v>
      </c>
      <c r="T1373" t="b">
        <v>0</v>
      </c>
    </row>
    <row r="1374" spans="1:20" x14ac:dyDescent="0.25">
      <c r="A1374" t="s">
        <v>65</v>
      </c>
      <c r="B1374">
        <v>130</v>
      </c>
      <c r="C1374">
        <v>510</v>
      </c>
      <c r="D1374" t="s">
        <v>29</v>
      </c>
      <c r="E1374" t="s">
        <v>29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 x14ac:dyDescent="0.25">
      <c r="A1375" t="s">
        <v>57</v>
      </c>
      <c r="B1375">
        <v>92</v>
      </c>
      <c r="C1375">
        <v>415</v>
      </c>
      <c r="D1375" t="s">
        <v>29</v>
      </c>
      <c r="E1375" t="s">
        <v>29</v>
      </c>
      <c r="F1375">
        <v>0</v>
      </c>
      <c r="G1375">
        <v>157.69999999999999</v>
      </c>
      <c r="H1375">
        <v>101</v>
      </c>
      <c r="I1375">
        <v>26.81</v>
      </c>
      <c r="J1375">
        <v>298.60000000000002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 x14ac:dyDescent="0.25">
      <c r="A1376" t="s">
        <v>46</v>
      </c>
      <c r="B1376">
        <v>119</v>
      </c>
      <c r="C1376">
        <v>408</v>
      </c>
      <c r="D1376" t="s">
        <v>29</v>
      </c>
      <c r="E1376" t="s">
        <v>29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17.600000000000001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 x14ac:dyDescent="0.25">
      <c r="A1377" t="s">
        <v>68</v>
      </c>
      <c r="B1377">
        <v>115</v>
      </c>
      <c r="C1377">
        <v>415</v>
      </c>
      <c r="D1377" t="s">
        <v>29</v>
      </c>
      <c r="E1377" t="s">
        <v>29</v>
      </c>
      <c r="F1377">
        <v>0</v>
      </c>
      <c r="G1377">
        <v>286.39999999999998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 x14ac:dyDescent="0.25">
      <c r="A1378" t="s">
        <v>43</v>
      </c>
      <c r="B1378">
        <v>127</v>
      </c>
      <c r="C1378">
        <v>408</v>
      </c>
      <c r="D1378" t="s">
        <v>29</v>
      </c>
      <c r="E1378" t="s">
        <v>30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 x14ac:dyDescent="0.25">
      <c r="A1379" t="s">
        <v>79</v>
      </c>
      <c r="B1379">
        <v>153</v>
      </c>
      <c r="C1379">
        <v>415</v>
      </c>
      <c r="D1379" t="s">
        <v>29</v>
      </c>
      <c r="E1379" t="s">
        <v>30</v>
      </c>
      <c r="F1379">
        <v>31</v>
      </c>
      <c r="G1379">
        <v>218.5</v>
      </c>
      <c r="H1379">
        <v>130</v>
      </c>
      <c r="I1379">
        <v>37.15</v>
      </c>
      <c r="J1379">
        <v>134.19999999999999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 x14ac:dyDescent="0.25">
      <c r="A1380" t="s">
        <v>78</v>
      </c>
      <c r="B1380">
        <v>79</v>
      </c>
      <c r="C1380">
        <v>415</v>
      </c>
      <c r="D1380" t="s">
        <v>29</v>
      </c>
      <c r="E1380" t="s">
        <v>29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17.940000000000001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 x14ac:dyDescent="0.25">
      <c r="A1381" t="s">
        <v>79</v>
      </c>
      <c r="B1381">
        <v>35</v>
      </c>
      <c r="C1381">
        <v>415</v>
      </c>
      <c r="D1381" t="s">
        <v>29</v>
      </c>
      <c r="E1381" t="s">
        <v>29</v>
      </c>
      <c r="F1381">
        <v>0</v>
      </c>
      <c r="G1381">
        <v>260.8</v>
      </c>
      <c r="H1381">
        <v>87</v>
      </c>
      <c r="I1381">
        <v>44.34</v>
      </c>
      <c r="J1381">
        <v>258.10000000000002</v>
      </c>
      <c r="K1381">
        <v>78</v>
      </c>
      <c r="L1381">
        <v>21.94</v>
      </c>
      <c r="M1381">
        <v>131.30000000000001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 x14ac:dyDescent="0.25">
      <c r="A1382" t="s">
        <v>66</v>
      </c>
      <c r="B1382">
        <v>68</v>
      </c>
      <c r="C1382">
        <v>510</v>
      </c>
      <c r="D1382" t="s">
        <v>29</v>
      </c>
      <c r="E1382" t="s">
        <v>29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10.199999999999999</v>
      </c>
      <c r="Q1382">
        <v>1</v>
      </c>
      <c r="R1382">
        <v>2.75</v>
      </c>
      <c r="S1382">
        <v>0</v>
      </c>
      <c r="T1382" t="b">
        <v>0</v>
      </c>
    </row>
    <row r="1383" spans="1:20" x14ac:dyDescent="0.25">
      <c r="A1383" t="s">
        <v>69</v>
      </c>
      <c r="B1383">
        <v>60</v>
      </c>
      <c r="C1383">
        <v>408</v>
      </c>
      <c r="D1383" t="s">
        <v>29</v>
      </c>
      <c r="E1383" t="s">
        <v>29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17.760000000000002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 x14ac:dyDescent="0.25">
      <c r="A1384" t="s">
        <v>40</v>
      </c>
      <c r="B1384">
        <v>71</v>
      </c>
      <c r="C1384">
        <v>510</v>
      </c>
      <c r="D1384" t="s">
        <v>29</v>
      </c>
      <c r="E1384" t="s">
        <v>30</v>
      </c>
      <c r="F1384">
        <v>23</v>
      </c>
      <c r="G1384">
        <v>175.7</v>
      </c>
      <c r="H1384">
        <v>82</v>
      </c>
      <c r="I1384">
        <v>29.87</v>
      </c>
      <c r="J1384">
        <v>258.89999999999998</v>
      </c>
      <c r="K1384">
        <v>136</v>
      </c>
      <c r="L1384">
        <v>22.01</v>
      </c>
      <c r="M1384">
        <v>268.39999999999998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 x14ac:dyDescent="0.25">
      <c r="A1385" t="s">
        <v>37</v>
      </c>
      <c r="B1385">
        <v>124</v>
      </c>
      <c r="C1385">
        <v>415</v>
      </c>
      <c r="D1385" t="s">
        <v>29</v>
      </c>
      <c r="E1385" t="s">
        <v>29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8.8000000000000007</v>
      </c>
      <c r="Q1385">
        <v>3</v>
      </c>
      <c r="R1385">
        <v>2.38</v>
      </c>
      <c r="S1385">
        <v>3</v>
      </c>
      <c r="T1385" t="b">
        <v>0</v>
      </c>
    </row>
    <row r="1386" spans="1:20" x14ac:dyDescent="0.25">
      <c r="A1386" t="s">
        <v>72</v>
      </c>
      <c r="B1386">
        <v>23</v>
      </c>
      <c r="C1386">
        <v>510</v>
      </c>
      <c r="D1386" t="s">
        <v>29</v>
      </c>
      <c r="E1386" t="s">
        <v>29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262.89999999999998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 x14ac:dyDescent="0.25">
      <c r="A1387" t="s">
        <v>49</v>
      </c>
      <c r="B1387">
        <v>225</v>
      </c>
      <c r="C1387">
        <v>415</v>
      </c>
      <c r="D1387" t="s">
        <v>29</v>
      </c>
      <c r="E1387" t="s">
        <v>29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8.8000000000000007</v>
      </c>
      <c r="Q1387">
        <v>2</v>
      </c>
      <c r="R1387">
        <v>2.38</v>
      </c>
      <c r="S1387">
        <v>1</v>
      </c>
      <c r="T1387" t="b">
        <v>0</v>
      </c>
    </row>
    <row r="1388" spans="1:20" x14ac:dyDescent="0.25">
      <c r="A1388" t="s">
        <v>70</v>
      </c>
      <c r="B1388">
        <v>181</v>
      </c>
      <c r="C1388">
        <v>415</v>
      </c>
      <c r="D1388" t="s">
        <v>30</v>
      </c>
      <c r="E1388" t="s">
        <v>29</v>
      </c>
      <c r="F1388">
        <v>0</v>
      </c>
      <c r="G1388">
        <v>161.30000000000001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 x14ac:dyDescent="0.25">
      <c r="A1389" t="s">
        <v>42</v>
      </c>
      <c r="B1389">
        <v>63</v>
      </c>
      <c r="C1389">
        <v>415</v>
      </c>
      <c r="D1389" t="s">
        <v>29</v>
      </c>
      <c r="E1389" t="s">
        <v>29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2.0299999999999998</v>
      </c>
      <c r="S1389">
        <v>2</v>
      </c>
      <c r="T1389" t="b">
        <v>0</v>
      </c>
    </row>
    <row r="1390" spans="1:20" x14ac:dyDescent="0.25">
      <c r="A1390" t="s">
        <v>64</v>
      </c>
      <c r="B1390">
        <v>54</v>
      </c>
      <c r="C1390">
        <v>415</v>
      </c>
      <c r="D1390" t="s">
        <v>30</v>
      </c>
      <c r="E1390" t="s">
        <v>29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9.6999999999999993</v>
      </c>
      <c r="Q1390">
        <v>2</v>
      </c>
      <c r="R1390">
        <v>2.62</v>
      </c>
      <c r="S1390">
        <v>2</v>
      </c>
      <c r="T1390" t="b">
        <v>1</v>
      </c>
    </row>
    <row r="1391" spans="1:20" x14ac:dyDescent="0.25">
      <c r="A1391" t="s">
        <v>36</v>
      </c>
      <c r="B1391">
        <v>80</v>
      </c>
      <c r="C1391">
        <v>408</v>
      </c>
      <c r="D1391" t="s">
        <v>30</v>
      </c>
      <c r="E1391" t="s">
        <v>30</v>
      </c>
      <c r="F1391">
        <v>15</v>
      </c>
      <c r="G1391">
        <v>159.30000000000001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141.19999999999999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 x14ac:dyDescent="0.25">
      <c r="A1392" t="s">
        <v>64</v>
      </c>
      <c r="B1392">
        <v>118</v>
      </c>
      <c r="C1392">
        <v>408</v>
      </c>
      <c r="D1392" t="s">
        <v>30</v>
      </c>
      <c r="E1392" t="s">
        <v>30</v>
      </c>
      <c r="F1392">
        <v>39</v>
      </c>
      <c r="G1392">
        <v>153.80000000000001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9.1999999999999993</v>
      </c>
      <c r="Q1392">
        <v>6</v>
      </c>
      <c r="R1392">
        <v>2.48</v>
      </c>
      <c r="S1392">
        <v>1</v>
      </c>
      <c r="T1392" t="b">
        <v>0</v>
      </c>
    </row>
    <row r="1393" spans="1:20" x14ac:dyDescent="0.25">
      <c r="A1393" t="s">
        <v>32</v>
      </c>
      <c r="B1393">
        <v>42</v>
      </c>
      <c r="C1393">
        <v>408</v>
      </c>
      <c r="D1393" t="s">
        <v>30</v>
      </c>
      <c r="E1393" t="s">
        <v>29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 x14ac:dyDescent="0.25">
      <c r="A1394" t="s">
        <v>31</v>
      </c>
      <c r="B1394">
        <v>134</v>
      </c>
      <c r="C1394">
        <v>408</v>
      </c>
      <c r="D1394" t="s">
        <v>29</v>
      </c>
      <c r="E1394" t="s">
        <v>29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 x14ac:dyDescent="0.25">
      <c r="A1395" t="s">
        <v>44</v>
      </c>
      <c r="B1395">
        <v>66</v>
      </c>
      <c r="C1395">
        <v>415</v>
      </c>
      <c r="D1395" t="s">
        <v>29</v>
      </c>
      <c r="E1395" t="s">
        <v>30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 x14ac:dyDescent="0.25">
      <c r="A1396" t="s">
        <v>65</v>
      </c>
      <c r="B1396">
        <v>66</v>
      </c>
      <c r="C1396">
        <v>415</v>
      </c>
      <c r="D1396" t="s">
        <v>29</v>
      </c>
      <c r="E1396" t="s">
        <v>29</v>
      </c>
      <c r="F1396">
        <v>0</v>
      </c>
      <c r="G1396">
        <v>205.1</v>
      </c>
      <c r="H1396">
        <v>102</v>
      </c>
      <c r="I1396">
        <v>34.869999999999997</v>
      </c>
      <c r="J1396">
        <v>232.7</v>
      </c>
      <c r="K1396">
        <v>109</v>
      </c>
      <c r="L1396">
        <v>19.78</v>
      </c>
      <c r="M1396">
        <v>259.89999999999998</v>
      </c>
      <c r="N1396">
        <v>95</v>
      </c>
      <c r="O1396">
        <v>11.7</v>
      </c>
      <c r="P1396">
        <v>9.1999999999999993</v>
      </c>
      <c r="Q1396">
        <v>6</v>
      </c>
      <c r="R1396">
        <v>2.48</v>
      </c>
      <c r="S1396">
        <v>2</v>
      </c>
      <c r="T1396" t="b">
        <v>0</v>
      </c>
    </row>
    <row r="1397" spans="1:20" x14ac:dyDescent="0.25">
      <c r="A1397" t="s">
        <v>76</v>
      </c>
      <c r="B1397">
        <v>127</v>
      </c>
      <c r="C1397">
        <v>415</v>
      </c>
      <c r="D1397" t="s">
        <v>29</v>
      </c>
      <c r="E1397" t="s">
        <v>30</v>
      </c>
      <c r="F1397">
        <v>28</v>
      </c>
      <c r="G1397">
        <v>235.6</v>
      </c>
      <c r="H1397">
        <v>124</v>
      </c>
      <c r="I1397">
        <v>40.049999999999997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 x14ac:dyDescent="0.25">
      <c r="A1398" t="s">
        <v>78</v>
      </c>
      <c r="B1398">
        <v>146</v>
      </c>
      <c r="C1398">
        <v>510</v>
      </c>
      <c r="D1398" t="s">
        <v>29</v>
      </c>
      <c r="E1398" t="s">
        <v>29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8.3699999999999992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 x14ac:dyDescent="0.25">
      <c r="A1399" t="s">
        <v>49</v>
      </c>
      <c r="B1399">
        <v>93</v>
      </c>
      <c r="C1399">
        <v>408</v>
      </c>
      <c r="D1399" t="s">
        <v>29</v>
      </c>
      <c r="E1399" t="s">
        <v>30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 x14ac:dyDescent="0.25">
      <c r="A1400" t="s">
        <v>80</v>
      </c>
      <c r="B1400">
        <v>77</v>
      </c>
      <c r="C1400">
        <v>415</v>
      </c>
      <c r="D1400" t="s">
        <v>29</v>
      </c>
      <c r="E1400" t="s">
        <v>29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2.0299999999999998</v>
      </c>
      <c r="S1400">
        <v>0</v>
      </c>
      <c r="T1400" t="b">
        <v>1</v>
      </c>
    </row>
    <row r="1401" spans="1:20" x14ac:dyDescent="0.25">
      <c r="A1401" t="s">
        <v>67</v>
      </c>
      <c r="B1401">
        <v>111</v>
      </c>
      <c r="C1401">
        <v>415</v>
      </c>
      <c r="D1401" t="s">
        <v>29</v>
      </c>
      <c r="E1401" t="s">
        <v>29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 x14ac:dyDescent="0.25">
      <c r="A1402" t="s">
        <v>34</v>
      </c>
      <c r="B1402">
        <v>115</v>
      </c>
      <c r="C1402">
        <v>510</v>
      </c>
      <c r="D1402" t="s">
        <v>29</v>
      </c>
      <c r="E1402" t="s">
        <v>30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 x14ac:dyDescent="0.25">
      <c r="A1403" t="s">
        <v>66</v>
      </c>
      <c r="B1403">
        <v>115</v>
      </c>
      <c r="C1403">
        <v>510</v>
      </c>
      <c r="D1403" t="s">
        <v>30</v>
      </c>
      <c r="E1403" t="s">
        <v>29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 x14ac:dyDescent="0.25">
      <c r="A1404" t="s">
        <v>64</v>
      </c>
      <c r="B1404">
        <v>114</v>
      </c>
      <c r="C1404">
        <v>408</v>
      </c>
      <c r="D1404" t="s">
        <v>29</v>
      </c>
      <c r="E1404" t="s">
        <v>29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133.30000000000001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 x14ac:dyDescent="0.25">
      <c r="A1405" t="s">
        <v>31</v>
      </c>
      <c r="B1405">
        <v>106</v>
      </c>
      <c r="C1405">
        <v>415</v>
      </c>
      <c r="D1405" t="s">
        <v>29</v>
      </c>
      <c r="E1405" t="s">
        <v>29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 x14ac:dyDescent="0.25">
      <c r="A1406" t="s">
        <v>46</v>
      </c>
      <c r="B1406">
        <v>59</v>
      </c>
      <c r="C1406">
        <v>510</v>
      </c>
      <c r="D1406" t="s">
        <v>29</v>
      </c>
      <c r="E1406" t="s">
        <v>29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 x14ac:dyDescent="0.25">
      <c r="A1407" t="s">
        <v>79</v>
      </c>
      <c r="B1407">
        <v>87</v>
      </c>
      <c r="C1407">
        <v>415</v>
      </c>
      <c r="D1407" t="s">
        <v>30</v>
      </c>
      <c r="E1407" t="s">
        <v>30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 x14ac:dyDescent="0.25">
      <c r="A1408" t="s">
        <v>70</v>
      </c>
      <c r="B1408">
        <v>21</v>
      </c>
      <c r="C1408">
        <v>415</v>
      </c>
      <c r="D1408" t="s">
        <v>29</v>
      </c>
      <c r="E1408" t="s">
        <v>29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 x14ac:dyDescent="0.25">
      <c r="A1409" t="s">
        <v>57</v>
      </c>
      <c r="B1409">
        <v>142</v>
      </c>
      <c r="C1409">
        <v>408</v>
      </c>
      <c r="D1409" t="s">
        <v>29</v>
      </c>
      <c r="E1409" t="s">
        <v>30</v>
      </c>
      <c r="F1409">
        <v>24</v>
      </c>
      <c r="G1409">
        <v>239.8</v>
      </c>
      <c r="H1409">
        <v>103</v>
      </c>
      <c r="I1409">
        <v>40.770000000000003</v>
      </c>
      <c r="J1409">
        <v>285.89999999999998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 x14ac:dyDescent="0.25">
      <c r="A1410" t="s">
        <v>58</v>
      </c>
      <c r="B1410">
        <v>149</v>
      </c>
      <c r="C1410">
        <v>415</v>
      </c>
      <c r="D1410" t="s">
        <v>29</v>
      </c>
      <c r="E1410" t="s">
        <v>29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9.8800000000000008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 x14ac:dyDescent="0.25">
      <c r="A1411" t="s">
        <v>46</v>
      </c>
      <c r="B1411">
        <v>54</v>
      </c>
      <c r="C1411">
        <v>510</v>
      </c>
      <c r="D1411" t="s">
        <v>29</v>
      </c>
      <c r="E1411" t="s">
        <v>30</v>
      </c>
      <c r="F1411">
        <v>39</v>
      </c>
      <c r="G1411">
        <v>117.6</v>
      </c>
      <c r="H1411">
        <v>82</v>
      </c>
      <c r="I1411">
        <v>19.989999999999998</v>
      </c>
      <c r="J1411">
        <v>159.19999999999999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 x14ac:dyDescent="0.25">
      <c r="A1412" t="s">
        <v>77</v>
      </c>
      <c r="B1412">
        <v>88</v>
      </c>
      <c r="C1412">
        <v>510</v>
      </c>
      <c r="D1412" t="s">
        <v>29</v>
      </c>
      <c r="E1412" t="s">
        <v>29</v>
      </c>
      <c r="F1412">
        <v>0</v>
      </c>
      <c r="G1412">
        <v>218.2</v>
      </c>
      <c r="H1412">
        <v>76</v>
      </c>
      <c r="I1412">
        <v>37.090000000000003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 x14ac:dyDescent="0.25">
      <c r="A1413" t="s">
        <v>50</v>
      </c>
      <c r="B1413">
        <v>85</v>
      </c>
      <c r="C1413">
        <v>415</v>
      </c>
      <c r="D1413" t="s">
        <v>29</v>
      </c>
      <c r="E1413" t="s">
        <v>30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 x14ac:dyDescent="0.25">
      <c r="A1414" t="s">
        <v>59</v>
      </c>
      <c r="B1414">
        <v>51</v>
      </c>
      <c r="C1414">
        <v>415</v>
      </c>
      <c r="D1414" t="s">
        <v>30</v>
      </c>
      <c r="E1414" t="s">
        <v>29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 x14ac:dyDescent="0.25">
      <c r="A1415" t="s">
        <v>36</v>
      </c>
      <c r="B1415">
        <v>45</v>
      </c>
      <c r="C1415">
        <v>510</v>
      </c>
      <c r="D1415" t="s">
        <v>29</v>
      </c>
      <c r="E1415" t="s">
        <v>30</v>
      </c>
      <c r="F1415">
        <v>29</v>
      </c>
      <c r="G1415">
        <v>135.80000000000001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 x14ac:dyDescent="0.25">
      <c r="A1416" t="s">
        <v>31</v>
      </c>
      <c r="B1416">
        <v>146</v>
      </c>
      <c r="C1416">
        <v>408</v>
      </c>
      <c r="D1416" t="s">
        <v>29</v>
      </c>
      <c r="E1416" t="s">
        <v>30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 x14ac:dyDescent="0.25">
      <c r="A1417" t="s">
        <v>57</v>
      </c>
      <c r="B1417">
        <v>63</v>
      </c>
      <c r="C1417">
        <v>510</v>
      </c>
      <c r="D1417" t="s">
        <v>29</v>
      </c>
      <c r="E1417" t="s">
        <v>30</v>
      </c>
      <c r="F1417">
        <v>34</v>
      </c>
      <c r="G1417">
        <v>152.19999999999999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 x14ac:dyDescent="0.25">
      <c r="A1418" t="s">
        <v>31</v>
      </c>
      <c r="B1418">
        <v>72</v>
      </c>
      <c r="C1418">
        <v>510</v>
      </c>
      <c r="D1418" t="s">
        <v>29</v>
      </c>
      <c r="E1418" t="s">
        <v>29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17.989999999999998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 x14ac:dyDescent="0.25">
      <c r="A1419" t="s">
        <v>76</v>
      </c>
      <c r="B1419">
        <v>130</v>
      </c>
      <c r="C1419">
        <v>408</v>
      </c>
      <c r="D1419" t="s">
        <v>29</v>
      </c>
      <c r="E1419" t="s">
        <v>29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 x14ac:dyDescent="0.25">
      <c r="A1420" t="s">
        <v>63</v>
      </c>
      <c r="B1420">
        <v>97</v>
      </c>
      <c r="C1420">
        <v>415</v>
      </c>
      <c r="D1420" t="s">
        <v>29</v>
      </c>
      <c r="E1420" t="s">
        <v>29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 x14ac:dyDescent="0.25">
      <c r="A1421" t="s">
        <v>70</v>
      </c>
      <c r="B1421">
        <v>54</v>
      </c>
      <c r="C1421">
        <v>415</v>
      </c>
      <c r="D1421" t="s">
        <v>29</v>
      </c>
      <c r="E1421" t="s">
        <v>29</v>
      </c>
      <c r="F1421">
        <v>0</v>
      </c>
      <c r="G1421">
        <v>286.60000000000002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 x14ac:dyDescent="0.25">
      <c r="A1422" t="s">
        <v>53</v>
      </c>
      <c r="B1422">
        <v>160</v>
      </c>
      <c r="C1422">
        <v>415</v>
      </c>
      <c r="D1422" t="s">
        <v>29</v>
      </c>
      <c r="E1422" t="s">
        <v>30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4.0999999999999996</v>
      </c>
      <c r="S1422">
        <v>1</v>
      </c>
      <c r="T1422" t="b">
        <v>0</v>
      </c>
    </row>
    <row r="1423" spans="1:20" x14ac:dyDescent="0.25">
      <c r="A1423" t="s">
        <v>44</v>
      </c>
      <c r="B1423">
        <v>79</v>
      </c>
      <c r="C1423">
        <v>415</v>
      </c>
      <c r="D1423" t="s">
        <v>29</v>
      </c>
      <c r="E1423" t="s">
        <v>29</v>
      </c>
      <c r="F1423">
        <v>0</v>
      </c>
      <c r="G1423">
        <v>144</v>
      </c>
      <c r="H1423">
        <v>90</v>
      </c>
      <c r="I1423">
        <v>24.48</v>
      </c>
      <c r="J1423">
        <v>135.80000000000001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 x14ac:dyDescent="0.25">
      <c r="A1424" t="s">
        <v>37</v>
      </c>
      <c r="B1424">
        <v>92</v>
      </c>
      <c r="C1424">
        <v>415</v>
      </c>
      <c r="D1424" t="s">
        <v>29</v>
      </c>
      <c r="E1424" t="s">
        <v>30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17.670000000000002</v>
      </c>
      <c r="M1424">
        <v>203.6</v>
      </c>
      <c r="N1424">
        <v>95</v>
      </c>
      <c r="O1424">
        <v>9.16</v>
      </c>
      <c r="P1424">
        <v>10.199999999999999</v>
      </c>
      <c r="Q1424">
        <v>11</v>
      </c>
      <c r="R1424">
        <v>2.75</v>
      </c>
      <c r="S1424">
        <v>0</v>
      </c>
      <c r="T1424" t="b">
        <v>0</v>
      </c>
    </row>
    <row r="1425" spans="1:20" x14ac:dyDescent="0.25">
      <c r="A1425" t="s">
        <v>74</v>
      </c>
      <c r="B1425">
        <v>59</v>
      </c>
      <c r="C1425">
        <v>415</v>
      </c>
      <c r="D1425" t="s">
        <v>29</v>
      </c>
      <c r="E1425" t="s">
        <v>29</v>
      </c>
      <c r="F1425">
        <v>0</v>
      </c>
      <c r="G1425">
        <v>204.3</v>
      </c>
      <c r="H1425">
        <v>65</v>
      </c>
      <c r="I1425">
        <v>34.729999999999997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 x14ac:dyDescent="0.25">
      <c r="A1426" t="s">
        <v>79</v>
      </c>
      <c r="B1426">
        <v>132</v>
      </c>
      <c r="C1426">
        <v>510</v>
      </c>
      <c r="D1426" t="s">
        <v>29</v>
      </c>
      <c r="E1426" t="s">
        <v>29</v>
      </c>
      <c r="F1426">
        <v>0</v>
      </c>
      <c r="G1426">
        <v>163.19999999999999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 x14ac:dyDescent="0.25">
      <c r="A1427" t="s">
        <v>63</v>
      </c>
      <c r="B1427">
        <v>93</v>
      </c>
      <c r="C1427">
        <v>415</v>
      </c>
      <c r="D1427" t="s">
        <v>29</v>
      </c>
      <c r="E1427" t="s">
        <v>29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263.89999999999998</v>
      </c>
      <c r="N1427">
        <v>96</v>
      </c>
      <c r="O1427">
        <v>11.88</v>
      </c>
      <c r="P1427">
        <v>8.5</v>
      </c>
      <c r="Q1427">
        <v>6</v>
      </c>
      <c r="R1427">
        <v>2.2999999999999998</v>
      </c>
      <c r="S1427">
        <v>2</v>
      </c>
      <c r="T1427" t="b">
        <v>0</v>
      </c>
    </row>
    <row r="1428" spans="1:20" x14ac:dyDescent="0.25">
      <c r="A1428" t="s">
        <v>32</v>
      </c>
      <c r="B1428">
        <v>147</v>
      </c>
      <c r="C1428">
        <v>415</v>
      </c>
      <c r="D1428" t="s">
        <v>29</v>
      </c>
      <c r="E1428" t="s">
        <v>30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 x14ac:dyDescent="0.25">
      <c r="A1429" t="s">
        <v>54</v>
      </c>
      <c r="B1429">
        <v>101</v>
      </c>
      <c r="C1429">
        <v>510</v>
      </c>
      <c r="D1429" t="s">
        <v>29</v>
      </c>
      <c r="E1429" t="s">
        <v>29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9.4499999999999993</v>
      </c>
      <c r="P1429">
        <v>8.5</v>
      </c>
      <c r="Q1429">
        <v>5</v>
      </c>
      <c r="R1429">
        <v>2.2999999999999998</v>
      </c>
      <c r="S1429">
        <v>1</v>
      </c>
      <c r="T1429" t="b">
        <v>0</v>
      </c>
    </row>
    <row r="1430" spans="1:20" x14ac:dyDescent="0.25">
      <c r="A1430" t="s">
        <v>80</v>
      </c>
      <c r="B1430">
        <v>125</v>
      </c>
      <c r="C1430">
        <v>415</v>
      </c>
      <c r="D1430" t="s">
        <v>30</v>
      </c>
      <c r="E1430" t="s">
        <v>29</v>
      </c>
      <c r="F1430">
        <v>0</v>
      </c>
      <c r="G1430">
        <v>187.3</v>
      </c>
      <c r="H1430">
        <v>118</v>
      </c>
      <c r="I1430">
        <v>31.84</v>
      </c>
      <c r="J1430">
        <v>160.69999999999999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 x14ac:dyDescent="0.25">
      <c r="A1431" t="s">
        <v>46</v>
      </c>
      <c r="B1431">
        <v>63</v>
      </c>
      <c r="C1431">
        <v>415</v>
      </c>
      <c r="D1431" t="s">
        <v>29</v>
      </c>
      <c r="E1431" t="s">
        <v>29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 x14ac:dyDescent="0.25">
      <c r="A1432" t="s">
        <v>55</v>
      </c>
      <c r="B1432">
        <v>107</v>
      </c>
      <c r="C1432">
        <v>415</v>
      </c>
      <c r="D1432" t="s">
        <v>29</v>
      </c>
      <c r="E1432" t="s">
        <v>29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 x14ac:dyDescent="0.25">
      <c r="A1433" t="s">
        <v>66</v>
      </c>
      <c r="B1433">
        <v>117</v>
      </c>
      <c r="C1433">
        <v>408</v>
      </c>
      <c r="D1433" t="s">
        <v>29</v>
      </c>
      <c r="E1433" t="s">
        <v>29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16.690000000000001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 x14ac:dyDescent="0.25">
      <c r="A1434" t="s">
        <v>71</v>
      </c>
      <c r="B1434">
        <v>124</v>
      </c>
      <c r="C1434">
        <v>415</v>
      </c>
      <c r="D1434" t="s">
        <v>29</v>
      </c>
      <c r="E1434" t="s">
        <v>29</v>
      </c>
      <c r="F1434">
        <v>0</v>
      </c>
      <c r="G1434">
        <v>194</v>
      </c>
      <c r="H1434">
        <v>103</v>
      </c>
      <c r="I1434">
        <v>32.979999999999997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 x14ac:dyDescent="0.25">
      <c r="A1435" t="s">
        <v>51</v>
      </c>
      <c r="B1435">
        <v>115</v>
      </c>
      <c r="C1435">
        <v>510</v>
      </c>
      <c r="D1435" t="s">
        <v>29</v>
      </c>
      <c r="E1435" t="s">
        <v>29</v>
      </c>
      <c r="F1435">
        <v>0</v>
      </c>
      <c r="G1435">
        <v>109.7</v>
      </c>
      <c r="H1435">
        <v>148</v>
      </c>
      <c r="I1435">
        <v>18.649999999999999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 x14ac:dyDescent="0.25">
      <c r="A1436" t="s">
        <v>46</v>
      </c>
      <c r="B1436">
        <v>156</v>
      </c>
      <c r="C1436">
        <v>408</v>
      </c>
      <c r="D1436" t="s">
        <v>30</v>
      </c>
      <c r="E1436" t="s">
        <v>29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20.260000000000002</v>
      </c>
      <c r="M1436">
        <v>94.4</v>
      </c>
      <c r="N1436">
        <v>96</v>
      </c>
      <c r="O1436">
        <v>4.25</v>
      </c>
      <c r="P1436">
        <v>8.3000000000000007</v>
      </c>
      <c r="Q1436">
        <v>3</v>
      </c>
      <c r="R1436">
        <v>2.2400000000000002</v>
      </c>
      <c r="S1436">
        <v>1</v>
      </c>
      <c r="T1436" t="b">
        <v>0</v>
      </c>
    </row>
    <row r="1437" spans="1:20" x14ac:dyDescent="0.25">
      <c r="A1437" t="s">
        <v>71</v>
      </c>
      <c r="B1437">
        <v>89</v>
      </c>
      <c r="C1437">
        <v>408</v>
      </c>
      <c r="D1437" t="s">
        <v>29</v>
      </c>
      <c r="E1437" t="s">
        <v>29</v>
      </c>
      <c r="F1437">
        <v>0</v>
      </c>
      <c r="G1437">
        <v>192.1</v>
      </c>
      <c r="H1437">
        <v>83</v>
      </c>
      <c r="I1437">
        <v>32.659999999999997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 x14ac:dyDescent="0.25">
      <c r="A1438" t="s">
        <v>71</v>
      </c>
      <c r="B1438">
        <v>72</v>
      </c>
      <c r="C1438">
        <v>415</v>
      </c>
      <c r="D1438" t="s">
        <v>29</v>
      </c>
      <c r="E1438" t="s">
        <v>29</v>
      </c>
      <c r="F1438">
        <v>0</v>
      </c>
      <c r="G1438">
        <v>198.4</v>
      </c>
      <c r="H1438">
        <v>147</v>
      </c>
      <c r="I1438">
        <v>33.729999999999997</v>
      </c>
      <c r="J1438">
        <v>216.9</v>
      </c>
      <c r="K1438">
        <v>121</v>
      </c>
      <c r="L1438">
        <v>18.440000000000001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 x14ac:dyDescent="0.25">
      <c r="A1439" t="s">
        <v>58</v>
      </c>
      <c r="B1439">
        <v>53</v>
      </c>
      <c r="C1439">
        <v>415</v>
      </c>
      <c r="D1439" t="s">
        <v>29</v>
      </c>
      <c r="E1439" t="s">
        <v>29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18.399999999999999</v>
      </c>
      <c r="Q1439">
        <v>3</v>
      </c>
      <c r="R1439">
        <v>4.97</v>
      </c>
      <c r="S1439">
        <v>2</v>
      </c>
      <c r="T1439" t="b">
        <v>0</v>
      </c>
    </row>
    <row r="1440" spans="1:20" x14ac:dyDescent="0.25">
      <c r="A1440" t="s">
        <v>63</v>
      </c>
      <c r="B1440">
        <v>116</v>
      </c>
      <c r="C1440">
        <v>408</v>
      </c>
      <c r="D1440" t="s">
        <v>29</v>
      </c>
      <c r="E1440" t="s">
        <v>29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 x14ac:dyDescent="0.25">
      <c r="A1441" t="s">
        <v>59</v>
      </c>
      <c r="B1441">
        <v>78</v>
      </c>
      <c r="C1441">
        <v>408</v>
      </c>
      <c r="D1441" t="s">
        <v>29</v>
      </c>
      <c r="E1441" t="s">
        <v>29</v>
      </c>
      <c r="F1441">
        <v>0</v>
      </c>
      <c r="G1441">
        <v>139.19999999999999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 x14ac:dyDescent="0.25">
      <c r="A1442" t="s">
        <v>48</v>
      </c>
      <c r="B1442">
        <v>56</v>
      </c>
      <c r="C1442">
        <v>510</v>
      </c>
      <c r="D1442" t="s">
        <v>29</v>
      </c>
      <c r="E1442" t="s">
        <v>29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 x14ac:dyDescent="0.25">
      <c r="A1443" t="s">
        <v>31</v>
      </c>
      <c r="B1443">
        <v>123</v>
      </c>
      <c r="C1443">
        <v>408</v>
      </c>
      <c r="D1443" t="s">
        <v>29</v>
      </c>
      <c r="E1443" t="s">
        <v>30</v>
      </c>
      <c r="F1443">
        <v>39</v>
      </c>
      <c r="G1443">
        <v>270.39999999999998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4.9000000000000004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 x14ac:dyDescent="0.25">
      <c r="A1444" t="s">
        <v>56</v>
      </c>
      <c r="B1444">
        <v>116</v>
      </c>
      <c r="C1444">
        <v>415</v>
      </c>
      <c r="D1444" t="s">
        <v>29</v>
      </c>
      <c r="E1444" t="s">
        <v>30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 x14ac:dyDescent="0.25">
      <c r="A1445" t="s">
        <v>57</v>
      </c>
      <c r="B1445">
        <v>102</v>
      </c>
      <c r="C1445">
        <v>408</v>
      </c>
      <c r="D1445" t="s">
        <v>29</v>
      </c>
      <c r="E1445" t="s">
        <v>29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8.9700000000000006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 x14ac:dyDescent="0.25">
      <c r="A1446" t="s">
        <v>58</v>
      </c>
      <c r="B1446">
        <v>95</v>
      </c>
      <c r="C1446">
        <v>415</v>
      </c>
      <c r="D1446" t="s">
        <v>29</v>
      </c>
      <c r="E1446" t="s">
        <v>29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 x14ac:dyDescent="0.25">
      <c r="A1447" t="s">
        <v>43</v>
      </c>
      <c r="B1447">
        <v>102</v>
      </c>
      <c r="C1447">
        <v>408</v>
      </c>
      <c r="D1447" t="s">
        <v>29</v>
      </c>
      <c r="E1447" t="s">
        <v>29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 x14ac:dyDescent="0.25">
      <c r="A1448" t="s">
        <v>56</v>
      </c>
      <c r="B1448">
        <v>89</v>
      </c>
      <c r="C1448">
        <v>415</v>
      </c>
      <c r="D1448" t="s">
        <v>29</v>
      </c>
      <c r="E1448" t="s">
        <v>30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 x14ac:dyDescent="0.25">
      <c r="A1449" t="s">
        <v>80</v>
      </c>
      <c r="B1449">
        <v>50</v>
      </c>
      <c r="C1449">
        <v>408</v>
      </c>
      <c r="D1449" t="s">
        <v>29</v>
      </c>
      <c r="E1449" t="s">
        <v>29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 x14ac:dyDescent="0.25">
      <c r="A1450" t="s">
        <v>31</v>
      </c>
      <c r="B1450">
        <v>93</v>
      </c>
      <c r="C1450">
        <v>415</v>
      </c>
      <c r="D1450" t="s">
        <v>29</v>
      </c>
      <c r="E1450" t="s">
        <v>30</v>
      </c>
      <c r="F1450">
        <v>42</v>
      </c>
      <c r="G1450">
        <v>152.30000000000001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266.89999999999998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 x14ac:dyDescent="0.25">
      <c r="A1451" t="s">
        <v>49</v>
      </c>
      <c r="B1451">
        <v>68</v>
      </c>
      <c r="C1451">
        <v>510</v>
      </c>
      <c r="D1451" t="s">
        <v>29</v>
      </c>
      <c r="E1451" t="s">
        <v>29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 x14ac:dyDescent="0.25">
      <c r="A1452" t="s">
        <v>50</v>
      </c>
      <c r="B1452">
        <v>70</v>
      </c>
      <c r="C1452">
        <v>408</v>
      </c>
      <c r="D1452" t="s">
        <v>29</v>
      </c>
      <c r="E1452" t="s">
        <v>29</v>
      </c>
      <c r="F1452">
        <v>0</v>
      </c>
      <c r="G1452">
        <v>208.7</v>
      </c>
      <c r="H1452">
        <v>97</v>
      </c>
      <c r="I1452">
        <v>35.479999999999997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8.2100000000000009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 x14ac:dyDescent="0.25">
      <c r="A1453" t="s">
        <v>36</v>
      </c>
      <c r="B1453">
        <v>138</v>
      </c>
      <c r="C1453">
        <v>415</v>
      </c>
      <c r="D1453" t="s">
        <v>29</v>
      </c>
      <c r="E1453" t="s">
        <v>30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 x14ac:dyDescent="0.25">
      <c r="A1454" t="s">
        <v>35</v>
      </c>
      <c r="B1454">
        <v>112</v>
      </c>
      <c r="C1454">
        <v>415</v>
      </c>
      <c r="D1454" t="s">
        <v>29</v>
      </c>
      <c r="E1454" t="s">
        <v>30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156.69999999999999</v>
      </c>
      <c r="N1454">
        <v>95</v>
      </c>
      <c r="O1454">
        <v>7.05</v>
      </c>
      <c r="P1454">
        <v>9.6999999999999993</v>
      </c>
      <c r="Q1454">
        <v>3</v>
      </c>
      <c r="R1454">
        <v>2.62</v>
      </c>
      <c r="S1454">
        <v>0</v>
      </c>
      <c r="T1454" t="b">
        <v>0</v>
      </c>
    </row>
    <row r="1455" spans="1:20" x14ac:dyDescent="0.25">
      <c r="A1455" t="s">
        <v>51</v>
      </c>
      <c r="B1455">
        <v>117</v>
      </c>
      <c r="C1455">
        <v>510</v>
      </c>
      <c r="D1455" t="s">
        <v>30</v>
      </c>
      <c r="E1455" t="s">
        <v>29</v>
      </c>
      <c r="F1455">
        <v>0</v>
      </c>
      <c r="G1455">
        <v>54.2</v>
      </c>
      <c r="H1455">
        <v>100</v>
      </c>
      <c r="I1455">
        <v>9.2100000000000009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2.3199999999999998</v>
      </c>
      <c r="S1455">
        <v>1</v>
      </c>
      <c r="T1455" t="b">
        <v>1</v>
      </c>
    </row>
    <row r="1456" spans="1:20" x14ac:dyDescent="0.25">
      <c r="A1456" t="s">
        <v>39</v>
      </c>
      <c r="B1456">
        <v>1</v>
      </c>
      <c r="C1456">
        <v>408</v>
      </c>
      <c r="D1456" t="s">
        <v>29</v>
      </c>
      <c r="E1456" t="s">
        <v>30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 x14ac:dyDescent="0.25">
      <c r="A1457" t="s">
        <v>34</v>
      </c>
      <c r="B1457">
        <v>70</v>
      </c>
      <c r="C1457">
        <v>415</v>
      </c>
      <c r="D1457" t="s">
        <v>29</v>
      </c>
      <c r="E1457" t="s">
        <v>29</v>
      </c>
      <c r="F1457">
        <v>0</v>
      </c>
      <c r="G1457">
        <v>230.3</v>
      </c>
      <c r="H1457">
        <v>110</v>
      </c>
      <c r="I1457">
        <v>39.15</v>
      </c>
      <c r="J1457">
        <v>77.900000000000006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 x14ac:dyDescent="0.25">
      <c r="A1458" t="s">
        <v>37</v>
      </c>
      <c r="B1458">
        <v>52</v>
      </c>
      <c r="C1458">
        <v>510</v>
      </c>
      <c r="D1458" t="s">
        <v>29</v>
      </c>
      <c r="E1458" t="s">
        <v>30</v>
      </c>
      <c r="F1458">
        <v>21</v>
      </c>
      <c r="G1458">
        <v>195.7</v>
      </c>
      <c r="H1458">
        <v>119</v>
      </c>
      <c r="I1458">
        <v>33.270000000000003</v>
      </c>
      <c r="J1458">
        <v>106.2</v>
      </c>
      <c r="K1458">
        <v>95</v>
      </c>
      <c r="L1458">
        <v>9.0299999999999994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 x14ac:dyDescent="0.25">
      <c r="A1459" t="s">
        <v>68</v>
      </c>
      <c r="B1459">
        <v>105</v>
      </c>
      <c r="C1459">
        <v>408</v>
      </c>
      <c r="D1459" t="s">
        <v>29</v>
      </c>
      <c r="E1459" t="s">
        <v>29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 x14ac:dyDescent="0.25">
      <c r="A1460" t="s">
        <v>75</v>
      </c>
      <c r="B1460">
        <v>77</v>
      </c>
      <c r="C1460">
        <v>510</v>
      </c>
      <c r="D1460" t="s">
        <v>29</v>
      </c>
      <c r="E1460" t="s">
        <v>30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 x14ac:dyDescent="0.25">
      <c r="A1461" t="s">
        <v>64</v>
      </c>
      <c r="B1461">
        <v>80</v>
      </c>
      <c r="C1461">
        <v>415</v>
      </c>
      <c r="D1461" t="s">
        <v>30</v>
      </c>
      <c r="E1461" t="s">
        <v>29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 x14ac:dyDescent="0.25">
      <c r="A1462" t="s">
        <v>51</v>
      </c>
      <c r="B1462">
        <v>120</v>
      </c>
      <c r="C1462">
        <v>510</v>
      </c>
      <c r="D1462" t="s">
        <v>29</v>
      </c>
      <c r="E1462" t="s">
        <v>30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161.30000000000001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 x14ac:dyDescent="0.25">
      <c r="A1463" t="s">
        <v>49</v>
      </c>
      <c r="B1463">
        <v>54</v>
      </c>
      <c r="C1463">
        <v>408</v>
      </c>
      <c r="D1463" t="s">
        <v>29</v>
      </c>
      <c r="E1463" t="s">
        <v>30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129.19999999999999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 x14ac:dyDescent="0.25">
      <c r="A1464" t="s">
        <v>45</v>
      </c>
      <c r="B1464">
        <v>148</v>
      </c>
      <c r="C1464">
        <v>510</v>
      </c>
      <c r="D1464" t="s">
        <v>30</v>
      </c>
      <c r="E1464" t="s">
        <v>29</v>
      </c>
      <c r="F1464">
        <v>0</v>
      </c>
      <c r="G1464">
        <v>148.19999999999999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8.8800000000000008</v>
      </c>
      <c r="P1464">
        <v>8.6</v>
      </c>
      <c r="Q1464">
        <v>3</v>
      </c>
      <c r="R1464">
        <v>2.3199999999999998</v>
      </c>
      <c r="S1464">
        <v>2</v>
      </c>
      <c r="T1464" t="b">
        <v>0</v>
      </c>
    </row>
    <row r="1465" spans="1:20" x14ac:dyDescent="0.25">
      <c r="A1465" t="s">
        <v>77</v>
      </c>
      <c r="B1465">
        <v>119</v>
      </c>
      <c r="C1465">
        <v>408</v>
      </c>
      <c r="D1465" t="s">
        <v>29</v>
      </c>
      <c r="E1465" t="s">
        <v>29</v>
      </c>
      <c r="F1465">
        <v>0</v>
      </c>
      <c r="G1465">
        <v>287.10000000000002</v>
      </c>
      <c r="H1465">
        <v>115</v>
      </c>
      <c r="I1465">
        <v>48.81</v>
      </c>
      <c r="J1465">
        <v>159.30000000000001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 x14ac:dyDescent="0.25">
      <c r="A1466" t="s">
        <v>36</v>
      </c>
      <c r="B1466">
        <v>85</v>
      </c>
      <c r="C1466">
        <v>510</v>
      </c>
      <c r="D1466" t="s">
        <v>29</v>
      </c>
      <c r="E1466" t="s">
        <v>29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16.149999999999999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 x14ac:dyDescent="0.25">
      <c r="A1467" t="s">
        <v>28</v>
      </c>
      <c r="B1467">
        <v>101</v>
      </c>
      <c r="C1467">
        <v>510</v>
      </c>
      <c r="D1467" t="s">
        <v>29</v>
      </c>
      <c r="E1467" t="s">
        <v>30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 x14ac:dyDescent="0.25">
      <c r="A1468" t="s">
        <v>71</v>
      </c>
      <c r="B1468">
        <v>172</v>
      </c>
      <c r="C1468">
        <v>415</v>
      </c>
      <c r="D1468" t="s">
        <v>29</v>
      </c>
      <c r="E1468" t="s">
        <v>29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9.9700000000000006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 x14ac:dyDescent="0.25">
      <c r="A1469" t="s">
        <v>59</v>
      </c>
      <c r="B1469">
        <v>80</v>
      </c>
      <c r="C1469">
        <v>415</v>
      </c>
      <c r="D1469" t="s">
        <v>29</v>
      </c>
      <c r="E1469" t="s">
        <v>29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 x14ac:dyDescent="0.25">
      <c r="A1470" t="s">
        <v>57</v>
      </c>
      <c r="B1470">
        <v>67</v>
      </c>
      <c r="C1470">
        <v>510</v>
      </c>
      <c r="D1470" t="s">
        <v>29</v>
      </c>
      <c r="E1470" t="s">
        <v>29</v>
      </c>
      <c r="F1470">
        <v>0</v>
      </c>
      <c r="G1470">
        <v>109.1</v>
      </c>
      <c r="H1470">
        <v>134</v>
      </c>
      <c r="I1470">
        <v>18.55</v>
      </c>
      <c r="J1470">
        <v>142.30000000000001</v>
      </c>
      <c r="K1470">
        <v>76</v>
      </c>
      <c r="L1470">
        <v>12.1</v>
      </c>
      <c r="M1470">
        <v>91.2</v>
      </c>
      <c r="N1470">
        <v>86</v>
      </c>
      <c r="O1470">
        <v>4.0999999999999996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 x14ac:dyDescent="0.25">
      <c r="A1471" t="s">
        <v>46</v>
      </c>
      <c r="B1471">
        <v>86</v>
      </c>
      <c r="C1471">
        <v>408</v>
      </c>
      <c r="D1471" t="s">
        <v>29</v>
      </c>
      <c r="E1471" t="s">
        <v>29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9.6999999999999993</v>
      </c>
      <c r="Q1471">
        <v>5</v>
      </c>
      <c r="R1471">
        <v>2.62</v>
      </c>
      <c r="S1471">
        <v>1</v>
      </c>
      <c r="T1471" t="b">
        <v>0</v>
      </c>
    </row>
    <row r="1472" spans="1:20" x14ac:dyDescent="0.25">
      <c r="A1472" t="s">
        <v>67</v>
      </c>
      <c r="B1472">
        <v>107</v>
      </c>
      <c r="C1472">
        <v>415</v>
      </c>
      <c r="D1472" t="s">
        <v>29</v>
      </c>
      <c r="E1472" t="s">
        <v>29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 x14ac:dyDescent="0.25">
      <c r="A1473" t="s">
        <v>59</v>
      </c>
      <c r="B1473">
        <v>133</v>
      </c>
      <c r="C1473">
        <v>510</v>
      </c>
      <c r="D1473" t="s">
        <v>29</v>
      </c>
      <c r="E1473" t="s">
        <v>29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 x14ac:dyDescent="0.25">
      <c r="A1474" t="s">
        <v>50</v>
      </c>
      <c r="B1474">
        <v>116</v>
      </c>
      <c r="C1474">
        <v>510</v>
      </c>
      <c r="D1474" t="s">
        <v>29</v>
      </c>
      <c r="E1474" t="s">
        <v>29</v>
      </c>
      <c r="F1474">
        <v>0</v>
      </c>
      <c r="G1474">
        <v>164.6</v>
      </c>
      <c r="H1474">
        <v>110</v>
      </c>
      <c r="I1474">
        <v>27.98</v>
      </c>
      <c r="J1474">
        <v>270.60000000000002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 x14ac:dyDescent="0.25">
      <c r="A1475" t="s">
        <v>65</v>
      </c>
      <c r="B1475">
        <v>63</v>
      </c>
      <c r="C1475">
        <v>408</v>
      </c>
      <c r="D1475" t="s">
        <v>29</v>
      </c>
      <c r="E1475" t="s">
        <v>29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 x14ac:dyDescent="0.25">
      <c r="A1476" t="s">
        <v>35</v>
      </c>
      <c r="B1476">
        <v>119</v>
      </c>
      <c r="C1476">
        <v>408</v>
      </c>
      <c r="D1476" t="s">
        <v>30</v>
      </c>
      <c r="E1476" t="s">
        <v>30</v>
      </c>
      <c r="F1476">
        <v>16</v>
      </c>
      <c r="G1476">
        <v>147.19999999999999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8.2799999999999994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 x14ac:dyDescent="0.25">
      <c r="A1477" t="s">
        <v>31</v>
      </c>
      <c r="B1477">
        <v>133</v>
      </c>
      <c r="C1477">
        <v>408</v>
      </c>
      <c r="D1477" t="s">
        <v>30</v>
      </c>
      <c r="E1477" t="s">
        <v>29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 x14ac:dyDescent="0.25">
      <c r="A1478" t="s">
        <v>76</v>
      </c>
      <c r="B1478">
        <v>94</v>
      </c>
      <c r="C1478">
        <v>408</v>
      </c>
      <c r="D1478" t="s">
        <v>30</v>
      </c>
      <c r="E1478" t="s">
        <v>29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4.9800000000000004</v>
      </c>
      <c r="P1478">
        <v>8.6999999999999993</v>
      </c>
      <c r="Q1478">
        <v>4</v>
      </c>
      <c r="R1478">
        <v>2.35</v>
      </c>
      <c r="S1478">
        <v>1</v>
      </c>
      <c r="T1478" t="b">
        <v>0</v>
      </c>
    </row>
    <row r="1479" spans="1:20" x14ac:dyDescent="0.25">
      <c r="A1479" t="s">
        <v>35</v>
      </c>
      <c r="B1479">
        <v>69</v>
      </c>
      <c r="C1479">
        <v>510</v>
      </c>
      <c r="D1479" t="s">
        <v>29</v>
      </c>
      <c r="E1479" t="s">
        <v>29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 x14ac:dyDescent="0.25">
      <c r="A1480" t="s">
        <v>74</v>
      </c>
      <c r="B1480">
        <v>146</v>
      </c>
      <c r="C1480">
        <v>408</v>
      </c>
      <c r="D1480" t="s">
        <v>29</v>
      </c>
      <c r="E1480" t="s">
        <v>29</v>
      </c>
      <c r="F1480">
        <v>0</v>
      </c>
      <c r="G1480">
        <v>149.30000000000001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149.80000000000001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 x14ac:dyDescent="0.25">
      <c r="A1481" t="s">
        <v>51</v>
      </c>
      <c r="B1481">
        <v>142</v>
      </c>
      <c r="C1481">
        <v>408</v>
      </c>
      <c r="D1481" t="s">
        <v>30</v>
      </c>
      <c r="E1481" t="s">
        <v>30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9.8000000000000007</v>
      </c>
      <c r="Q1481">
        <v>3</v>
      </c>
      <c r="R1481">
        <v>2.65</v>
      </c>
      <c r="S1481">
        <v>0</v>
      </c>
      <c r="T1481" t="b">
        <v>0</v>
      </c>
    </row>
    <row r="1482" spans="1:20" x14ac:dyDescent="0.25">
      <c r="A1482" t="s">
        <v>55</v>
      </c>
      <c r="B1482">
        <v>123</v>
      </c>
      <c r="C1482">
        <v>408</v>
      </c>
      <c r="D1482" t="s">
        <v>29</v>
      </c>
      <c r="E1482" t="s">
        <v>29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8.8800000000000008</v>
      </c>
      <c r="P1482">
        <v>8.3000000000000007</v>
      </c>
      <c r="Q1482">
        <v>2</v>
      </c>
      <c r="R1482">
        <v>2.2400000000000002</v>
      </c>
      <c r="S1482">
        <v>3</v>
      </c>
      <c r="T1482" t="b">
        <v>0</v>
      </c>
    </row>
    <row r="1483" spans="1:20" x14ac:dyDescent="0.25">
      <c r="A1483" t="s">
        <v>73</v>
      </c>
      <c r="B1483">
        <v>101</v>
      </c>
      <c r="C1483">
        <v>408</v>
      </c>
      <c r="D1483" t="s">
        <v>29</v>
      </c>
      <c r="E1483" t="s">
        <v>29</v>
      </c>
      <c r="F1483">
        <v>0</v>
      </c>
      <c r="G1483">
        <v>239</v>
      </c>
      <c r="H1483">
        <v>156</v>
      </c>
      <c r="I1483">
        <v>40.630000000000003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 x14ac:dyDescent="0.25">
      <c r="A1484" t="s">
        <v>47</v>
      </c>
      <c r="B1484">
        <v>43</v>
      </c>
      <c r="C1484">
        <v>415</v>
      </c>
      <c r="D1484" t="s">
        <v>29</v>
      </c>
      <c r="E1484" t="s">
        <v>29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 x14ac:dyDescent="0.25">
      <c r="A1485" t="s">
        <v>60</v>
      </c>
      <c r="B1485">
        <v>69</v>
      </c>
      <c r="C1485">
        <v>408</v>
      </c>
      <c r="D1485" t="s">
        <v>29</v>
      </c>
      <c r="E1485" t="s">
        <v>29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 x14ac:dyDescent="0.25">
      <c r="A1486" t="s">
        <v>70</v>
      </c>
      <c r="B1486">
        <v>15</v>
      </c>
      <c r="C1486">
        <v>510</v>
      </c>
      <c r="D1486" t="s">
        <v>30</v>
      </c>
      <c r="E1486" t="s">
        <v>29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 x14ac:dyDescent="0.25">
      <c r="A1487" t="s">
        <v>37</v>
      </c>
      <c r="B1487">
        <v>67</v>
      </c>
      <c r="C1487">
        <v>510</v>
      </c>
      <c r="D1487" t="s">
        <v>29</v>
      </c>
      <c r="E1487" t="s">
        <v>29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4.9000000000000004</v>
      </c>
      <c r="Q1487">
        <v>3</v>
      </c>
      <c r="R1487">
        <v>1.32</v>
      </c>
      <c r="S1487">
        <v>2</v>
      </c>
      <c r="T1487" t="b">
        <v>0</v>
      </c>
    </row>
    <row r="1488" spans="1:20" x14ac:dyDescent="0.25">
      <c r="A1488" t="s">
        <v>70</v>
      </c>
      <c r="B1488">
        <v>99</v>
      </c>
      <c r="C1488">
        <v>415</v>
      </c>
      <c r="D1488" t="s">
        <v>29</v>
      </c>
      <c r="E1488" t="s">
        <v>29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 x14ac:dyDescent="0.25">
      <c r="A1489" t="s">
        <v>33</v>
      </c>
      <c r="B1489">
        <v>46</v>
      </c>
      <c r="C1489">
        <v>415</v>
      </c>
      <c r="D1489" t="s">
        <v>29</v>
      </c>
      <c r="E1489" t="s">
        <v>29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 x14ac:dyDescent="0.25">
      <c r="A1490" t="s">
        <v>64</v>
      </c>
      <c r="B1490">
        <v>55</v>
      </c>
      <c r="C1490">
        <v>408</v>
      </c>
      <c r="D1490" t="s">
        <v>30</v>
      </c>
      <c r="E1490" t="s">
        <v>29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9.6999999999999993</v>
      </c>
      <c r="Q1490">
        <v>4</v>
      </c>
      <c r="R1490">
        <v>2.62</v>
      </c>
      <c r="S1490">
        <v>1</v>
      </c>
      <c r="T1490" t="b">
        <v>0</v>
      </c>
    </row>
    <row r="1491" spans="1:20" x14ac:dyDescent="0.25">
      <c r="A1491" t="s">
        <v>71</v>
      </c>
      <c r="B1491">
        <v>39</v>
      </c>
      <c r="C1491">
        <v>415</v>
      </c>
      <c r="D1491" t="s">
        <v>29</v>
      </c>
      <c r="E1491" t="s">
        <v>29</v>
      </c>
      <c r="F1491">
        <v>0</v>
      </c>
      <c r="G1491">
        <v>295.39999999999998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9.1999999999999993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 x14ac:dyDescent="0.25">
      <c r="A1492" t="s">
        <v>44</v>
      </c>
      <c r="B1492">
        <v>92</v>
      </c>
      <c r="C1492">
        <v>510</v>
      </c>
      <c r="D1492" t="s">
        <v>29</v>
      </c>
      <c r="E1492" t="s">
        <v>29</v>
      </c>
      <c r="F1492">
        <v>0</v>
      </c>
      <c r="G1492">
        <v>139.80000000000001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 x14ac:dyDescent="0.25">
      <c r="A1493" t="s">
        <v>80</v>
      </c>
      <c r="B1493">
        <v>56</v>
      </c>
      <c r="C1493">
        <v>415</v>
      </c>
      <c r="D1493" t="s">
        <v>29</v>
      </c>
      <c r="E1493" t="s">
        <v>29</v>
      </c>
      <c r="F1493">
        <v>0</v>
      </c>
      <c r="G1493">
        <v>162.30000000000001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 x14ac:dyDescent="0.25">
      <c r="A1494" t="s">
        <v>48</v>
      </c>
      <c r="B1494">
        <v>76</v>
      </c>
      <c r="C1494">
        <v>415</v>
      </c>
      <c r="D1494" t="s">
        <v>29</v>
      </c>
      <c r="E1494" t="s">
        <v>29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 x14ac:dyDescent="0.25">
      <c r="A1495" t="s">
        <v>78</v>
      </c>
      <c r="B1495">
        <v>132</v>
      </c>
      <c r="C1495">
        <v>408</v>
      </c>
      <c r="D1495" t="s">
        <v>30</v>
      </c>
      <c r="E1495" t="s">
        <v>30</v>
      </c>
      <c r="F1495">
        <v>33</v>
      </c>
      <c r="G1495">
        <v>200.3</v>
      </c>
      <c r="H1495">
        <v>75</v>
      </c>
      <c r="I1495">
        <v>34.049999999999997</v>
      </c>
      <c r="J1495">
        <v>226.6</v>
      </c>
      <c r="K1495">
        <v>67</v>
      </c>
      <c r="L1495">
        <v>19.260000000000002</v>
      </c>
      <c r="M1495">
        <v>198.8</v>
      </c>
      <c r="N1495">
        <v>91</v>
      </c>
      <c r="O1495">
        <v>8.9499999999999993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 x14ac:dyDescent="0.25">
      <c r="A1496" t="s">
        <v>54</v>
      </c>
      <c r="B1496">
        <v>51</v>
      </c>
      <c r="C1496">
        <v>510</v>
      </c>
      <c r="D1496" t="s">
        <v>30</v>
      </c>
      <c r="E1496" t="s">
        <v>30</v>
      </c>
      <c r="F1496">
        <v>12</v>
      </c>
      <c r="G1496">
        <v>135.80000000000001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 x14ac:dyDescent="0.25">
      <c r="A1497" t="s">
        <v>63</v>
      </c>
      <c r="B1497">
        <v>27</v>
      </c>
      <c r="C1497">
        <v>408</v>
      </c>
      <c r="D1497" t="s">
        <v>29</v>
      </c>
      <c r="E1497" t="s">
        <v>29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 x14ac:dyDescent="0.25">
      <c r="A1498" t="s">
        <v>41</v>
      </c>
      <c r="B1498">
        <v>224</v>
      </c>
      <c r="C1498">
        <v>510</v>
      </c>
      <c r="D1498" t="s">
        <v>29</v>
      </c>
      <c r="E1498" t="s">
        <v>29</v>
      </c>
      <c r="F1498">
        <v>0</v>
      </c>
      <c r="G1498">
        <v>111.4</v>
      </c>
      <c r="H1498">
        <v>133</v>
      </c>
      <c r="I1498">
        <v>18.940000000000001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 x14ac:dyDescent="0.25">
      <c r="A1499" t="s">
        <v>33</v>
      </c>
      <c r="B1499">
        <v>105</v>
      </c>
      <c r="C1499">
        <v>510</v>
      </c>
      <c r="D1499" t="s">
        <v>30</v>
      </c>
      <c r="E1499" t="s">
        <v>30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 x14ac:dyDescent="0.25">
      <c r="A1500" t="s">
        <v>65</v>
      </c>
      <c r="B1500">
        <v>117</v>
      </c>
      <c r="C1500">
        <v>408</v>
      </c>
      <c r="D1500" t="s">
        <v>29</v>
      </c>
      <c r="E1500" t="s">
        <v>29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 x14ac:dyDescent="0.25">
      <c r="A1501" t="s">
        <v>43</v>
      </c>
      <c r="B1501">
        <v>146</v>
      </c>
      <c r="C1501">
        <v>415</v>
      </c>
      <c r="D1501" t="s">
        <v>29</v>
      </c>
      <c r="E1501" t="s">
        <v>29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 x14ac:dyDescent="0.25">
      <c r="A1502" t="s">
        <v>57</v>
      </c>
      <c r="B1502">
        <v>147</v>
      </c>
      <c r="C1502">
        <v>415</v>
      </c>
      <c r="D1502" t="s">
        <v>30</v>
      </c>
      <c r="E1502" t="s">
        <v>29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143.19999999999999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 x14ac:dyDescent="0.25">
      <c r="A1503" t="s">
        <v>60</v>
      </c>
      <c r="B1503">
        <v>68</v>
      </c>
      <c r="C1503">
        <v>510</v>
      </c>
      <c r="D1503" t="s">
        <v>29</v>
      </c>
      <c r="E1503" t="s">
        <v>29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 x14ac:dyDescent="0.25">
      <c r="A1504" t="s">
        <v>67</v>
      </c>
      <c r="B1504">
        <v>68</v>
      </c>
      <c r="C1504">
        <v>408</v>
      </c>
      <c r="D1504" t="s">
        <v>29</v>
      </c>
      <c r="E1504" t="s">
        <v>29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10.199999999999999</v>
      </c>
      <c r="Q1504">
        <v>5</v>
      </c>
      <c r="R1504">
        <v>2.75</v>
      </c>
      <c r="S1504">
        <v>3</v>
      </c>
      <c r="T1504" t="b">
        <v>0</v>
      </c>
    </row>
    <row r="1505" spans="1:20" x14ac:dyDescent="0.25">
      <c r="A1505" t="s">
        <v>42</v>
      </c>
      <c r="B1505">
        <v>159</v>
      </c>
      <c r="C1505">
        <v>415</v>
      </c>
      <c r="D1505" t="s">
        <v>29</v>
      </c>
      <c r="E1505" t="s">
        <v>29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 x14ac:dyDescent="0.25">
      <c r="A1506" t="s">
        <v>47</v>
      </c>
      <c r="B1506">
        <v>134</v>
      </c>
      <c r="C1506">
        <v>415</v>
      </c>
      <c r="D1506" t="s">
        <v>29</v>
      </c>
      <c r="E1506" t="s">
        <v>30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 x14ac:dyDescent="0.25">
      <c r="A1507" t="s">
        <v>42</v>
      </c>
      <c r="B1507">
        <v>113</v>
      </c>
      <c r="C1507">
        <v>510</v>
      </c>
      <c r="D1507" t="s">
        <v>29</v>
      </c>
      <c r="E1507" t="s">
        <v>29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 x14ac:dyDescent="0.25">
      <c r="A1508" t="s">
        <v>36</v>
      </c>
      <c r="B1508">
        <v>132</v>
      </c>
      <c r="C1508">
        <v>408</v>
      </c>
      <c r="D1508" t="s">
        <v>29</v>
      </c>
      <c r="E1508" t="s">
        <v>29</v>
      </c>
      <c r="F1508">
        <v>0</v>
      </c>
      <c r="G1508">
        <v>206.2</v>
      </c>
      <c r="H1508">
        <v>100</v>
      </c>
      <c r="I1508">
        <v>35.049999999999997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10.199999999999999</v>
      </c>
      <c r="Q1508">
        <v>6</v>
      </c>
      <c r="R1508">
        <v>2.75</v>
      </c>
      <c r="S1508">
        <v>1</v>
      </c>
      <c r="T1508" t="b">
        <v>0</v>
      </c>
    </row>
    <row r="1509" spans="1:20" x14ac:dyDescent="0.25">
      <c r="A1509" t="s">
        <v>32</v>
      </c>
      <c r="B1509">
        <v>93</v>
      </c>
      <c r="C1509">
        <v>510</v>
      </c>
      <c r="D1509" t="s">
        <v>30</v>
      </c>
      <c r="E1509" t="s">
        <v>30</v>
      </c>
      <c r="F1509">
        <v>38</v>
      </c>
      <c r="G1509">
        <v>225.7</v>
      </c>
      <c r="H1509">
        <v>117</v>
      </c>
      <c r="I1509">
        <v>38.369999999999997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 x14ac:dyDescent="0.25">
      <c r="A1510" t="s">
        <v>65</v>
      </c>
      <c r="B1510">
        <v>174</v>
      </c>
      <c r="C1510">
        <v>408</v>
      </c>
      <c r="D1510" t="s">
        <v>29</v>
      </c>
      <c r="E1510" t="s">
        <v>30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 x14ac:dyDescent="0.25">
      <c r="A1511" t="s">
        <v>70</v>
      </c>
      <c r="B1511">
        <v>61</v>
      </c>
      <c r="C1511">
        <v>415</v>
      </c>
      <c r="D1511" t="s">
        <v>29</v>
      </c>
      <c r="E1511" t="s">
        <v>29</v>
      </c>
      <c r="F1511">
        <v>0</v>
      </c>
      <c r="G1511">
        <v>197.7</v>
      </c>
      <c r="H1511">
        <v>118</v>
      </c>
      <c r="I1511">
        <v>33.61</v>
      </c>
      <c r="J1511">
        <v>152.19999999999999</v>
      </c>
      <c r="K1511">
        <v>96</v>
      </c>
      <c r="L1511">
        <v>12.94</v>
      </c>
      <c r="M1511">
        <v>221</v>
      </c>
      <c r="N1511">
        <v>93</v>
      </c>
      <c r="O1511">
        <v>9.9499999999999993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 x14ac:dyDescent="0.25">
      <c r="A1512" t="s">
        <v>69</v>
      </c>
      <c r="B1512">
        <v>91</v>
      </c>
      <c r="C1512">
        <v>415</v>
      </c>
      <c r="D1512" t="s">
        <v>29</v>
      </c>
      <c r="E1512" t="s">
        <v>30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 x14ac:dyDescent="0.25">
      <c r="A1513" t="s">
        <v>48</v>
      </c>
      <c r="B1513">
        <v>88</v>
      </c>
      <c r="C1513">
        <v>408</v>
      </c>
      <c r="D1513" t="s">
        <v>29</v>
      </c>
      <c r="E1513" t="s">
        <v>30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20.170000000000002</v>
      </c>
      <c r="M1513">
        <v>211.6</v>
      </c>
      <c r="N1513">
        <v>116</v>
      </c>
      <c r="O1513">
        <v>9.52</v>
      </c>
      <c r="P1513">
        <v>9.8000000000000007</v>
      </c>
      <c r="Q1513">
        <v>1</v>
      </c>
      <c r="R1513">
        <v>2.65</v>
      </c>
      <c r="S1513">
        <v>2</v>
      </c>
      <c r="T1513" t="b">
        <v>0</v>
      </c>
    </row>
    <row r="1514" spans="1:20" x14ac:dyDescent="0.25">
      <c r="A1514" t="s">
        <v>35</v>
      </c>
      <c r="B1514">
        <v>88</v>
      </c>
      <c r="C1514">
        <v>408</v>
      </c>
      <c r="D1514" t="s">
        <v>29</v>
      </c>
      <c r="E1514" t="s">
        <v>30</v>
      </c>
      <c r="F1514">
        <v>45</v>
      </c>
      <c r="G1514">
        <v>80.3</v>
      </c>
      <c r="H1514">
        <v>140</v>
      </c>
      <c r="I1514">
        <v>13.65</v>
      </c>
      <c r="J1514">
        <v>153.30000000000001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 x14ac:dyDescent="0.25">
      <c r="A1515" t="s">
        <v>67</v>
      </c>
      <c r="B1515">
        <v>182</v>
      </c>
      <c r="C1515">
        <v>415</v>
      </c>
      <c r="D1515" t="s">
        <v>29</v>
      </c>
      <c r="E1515" t="s">
        <v>29</v>
      </c>
      <c r="F1515">
        <v>0</v>
      </c>
      <c r="G1515">
        <v>69.099999999999994</v>
      </c>
      <c r="H1515">
        <v>114</v>
      </c>
      <c r="I1515">
        <v>11.75</v>
      </c>
      <c r="J1515">
        <v>230.3</v>
      </c>
      <c r="K1515">
        <v>109</v>
      </c>
      <c r="L1515">
        <v>19.579999999999998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 x14ac:dyDescent="0.25">
      <c r="A1516" t="s">
        <v>46</v>
      </c>
      <c r="B1516">
        <v>118</v>
      </c>
      <c r="C1516">
        <v>408</v>
      </c>
      <c r="D1516" t="s">
        <v>29</v>
      </c>
      <c r="E1516" t="s">
        <v>29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8.1999999999999993</v>
      </c>
      <c r="Q1516">
        <v>7</v>
      </c>
      <c r="R1516">
        <v>2.21</v>
      </c>
      <c r="S1516">
        <v>4</v>
      </c>
      <c r="T1516" t="b">
        <v>0</v>
      </c>
    </row>
    <row r="1517" spans="1:20" x14ac:dyDescent="0.25">
      <c r="A1517" t="s">
        <v>51</v>
      </c>
      <c r="B1517">
        <v>103</v>
      </c>
      <c r="C1517">
        <v>408</v>
      </c>
      <c r="D1517" t="s">
        <v>29</v>
      </c>
      <c r="E1517" t="s">
        <v>29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9.9499999999999993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 x14ac:dyDescent="0.25">
      <c r="A1518" t="s">
        <v>50</v>
      </c>
      <c r="B1518">
        <v>65</v>
      </c>
      <c r="C1518">
        <v>510</v>
      </c>
      <c r="D1518" t="s">
        <v>29</v>
      </c>
      <c r="E1518" t="s">
        <v>29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 x14ac:dyDescent="0.25">
      <c r="A1519" t="s">
        <v>61</v>
      </c>
      <c r="B1519">
        <v>61</v>
      </c>
      <c r="C1519">
        <v>408</v>
      </c>
      <c r="D1519" t="s">
        <v>29</v>
      </c>
      <c r="E1519" t="s">
        <v>30</v>
      </c>
      <c r="F1519">
        <v>25</v>
      </c>
      <c r="G1519">
        <v>163.69999999999999</v>
      </c>
      <c r="H1519">
        <v>78</v>
      </c>
      <c r="I1519">
        <v>27.83</v>
      </c>
      <c r="J1519">
        <v>113.2</v>
      </c>
      <c r="K1519">
        <v>112</v>
      </c>
      <c r="L1519">
        <v>9.6199999999999992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 x14ac:dyDescent="0.25">
      <c r="A1520" t="s">
        <v>37</v>
      </c>
      <c r="B1520">
        <v>172</v>
      </c>
      <c r="C1520">
        <v>415</v>
      </c>
      <c r="D1520" t="s">
        <v>29</v>
      </c>
      <c r="E1520" t="s">
        <v>29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 x14ac:dyDescent="0.25">
      <c r="A1521" t="s">
        <v>32</v>
      </c>
      <c r="B1521">
        <v>72</v>
      </c>
      <c r="C1521">
        <v>415</v>
      </c>
      <c r="D1521" t="s">
        <v>29</v>
      </c>
      <c r="E1521" t="s">
        <v>29</v>
      </c>
      <c r="F1521">
        <v>0</v>
      </c>
      <c r="G1521">
        <v>175.5</v>
      </c>
      <c r="H1521">
        <v>103</v>
      </c>
      <c r="I1521">
        <v>29.84</v>
      </c>
      <c r="J1521">
        <v>132.30000000000001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 x14ac:dyDescent="0.25">
      <c r="A1522" t="s">
        <v>67</v>
      </c>
      <c r="B1522">
        <v>113</v>
      </c>
      <c r="C1522">
        <v>510</v>
      </c>
      <c r="D1522" t="s">
        <v>29</v>
      </c>
      <c r="E1522" t="s">
        <v>29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17.010000000000002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 x14ac:dyDescent="0.25">
      <c r="A1523" t="s">
        <v>67</v>
      </c>
      <c r="B1523">
        <v>67</v>
      </c>
      <c r="C1523">
        <v>415</v>
      </c>
      <c r="D1523" t="s">
        <v>29</v>
      </c>
      <c r="E1523" t="s">
        <v>29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2.3199999999999998</v>
      </c>
      <c r="S1523">
        <v>1</v>
      </c>
      <c r="T1523" t="b">
        <v>0</v>
      </c>
    </row>
    <row r="1524" spans="1:20" x14ac:dyDescent="0.25">
      <c r="A1524" t="s">
        <v>59</v>
      </c>
      <c r="B1524">
        <v>136</v>
      </c>
      <c r="C1524">
        <v>415</v>
      </c>
      <c r="D1524" t="s">
        <v>29</v>
      </c>
      <c r="E1524" t="s">
        <v>29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17.239999999999998</v>
      </c>
      <c r="M1524">
        <v>136.19999999999999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 x14ac:dyDescent="0.25">
      <c r="A1525" t="s">
        <v>53</v>
      </c>
      <c r="B1525">
        <v>71</v>
      </c>
      <c r="C1525">
        <v>415</v>
      </c>
      <c r="D1525" t="s">
        <v>29</v>
      </c>
      <c r="E1525" t="s">
        <v>29</v>
      </c>
      <c r="F1525">
        <v>0</v>
      </c>
      <c r="G1525">
        <v>258.39999999999998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8.2100000000000009</v>
      </c>
      <c r="P1525">
        <v>9.6999999999999993</v>
      </c>
      <c r="Q1525">
        <v>8</v>
      </c>
      <c r="R1525">
        <v>2.62</v>
      </c>
      <c r="S1525">
        <v>4</v>
      </c>
      <c r="T1525" t="b">
        <v>0</v>
      </c>
    </row>
    <row r="1526" spans="1:20" x14ac:dyDescent="0.25">
      <c r="A1526" t="s">
        <v>78</v>
      </c>
      <c r="B1526">
        <v>134</v>
      </c>
      <c r="C1526">
        <v>408</v>
      </c>
      <c r="D1526" t="s">
        <v>29</v>
      </c>
      <c r="E1526" t="s">
        <v>29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 x14ac:dyDescent="0.25">
      <c r="A1527" t="s">
        <v>32</v>
      </c>
      <c r="B1527">
        <v>84</v>
      </c>
      <c r="C1527">
        <v>415</v>
      </c>
      <c r="D1527" t="s">
        <v>29</v>
      </c>
      <c r="E1527" t="s">
        <v>29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9.8000000000000007</v>
      </c>
      <c r="Q1527">
        <v>6</v>
      </c>
      <c r="R1527">
        <v>2.65</v>
      </c>
      <c r="S1527">
        <v>2</v>
      </c>
      <c r="T1527" t="b">
        <v>0</v>
      </c>
    </row>
    <row r="1528" spans="1:20" x14ac:dyDescent="0.25">
      <c r="A1528" t="s">
        <v>72</v>
      </c>
      <c r="B1528">
        <v>39</v>
      </c>
      <c r="C1528">
        <v>408</v>
      </c>
      <c r="D1528" t="s">
        <v>29</v>
      </c>
      <c r="E1528" t="s">
        <v>29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9.8000000000000007</v>
      </c>
      <c r="Q1528">
        <v>4</v>
      </c>
      <c r="R1528">
        <v>2.65</v>
      </c>
      <c r="S1528">
        <v>2</v>
      </c>
      <c r="T1528" t="b">
        <v>0</v>
      </c>
    </row>
    <row r="1529" spans="1:20" x14ac:dyDescent="0.25">
      <c r="A1529" t="s">
        <v>33</v>
      </c>
      <c r="B1529">
        <v>110</v>
      </c>
      <c r="C1529">
        <v>510</v>
      </c>
      <c r="D1529" t="s">
        <v>29</v>
      </c>
      <c r="E1529" t="s">
        <v>29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150.30000000000001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 x14ac:dyDescent="0.25">
      <c r="A1530" t="s">
        <v>76</v>
      </c>
      <c r="B1530">
        <v>102</v>
      </c>
      <c r="C1530">
        <v>510</v>
      </c>
      <c r="D1530" t="s">
        <v>29</v>
      </c>
      <c r="E1530" t="s">
        <v>29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 x14ac:dyDescent="0.25">
      <c r="A1531" t="s">
        <v>49</v>
      </c>
      <c r="B1531">
        <v>70</v>
      </c>
      <c r="C1531">
        <v>415</v>
      </c>
      <c r="D1531" t="s">
        <v>29</v>
      </c>
      <c r="E1531" t="s">
        <v>29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260.60000000000002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 x14ac:dyDescent="0.25">
      <c r="A1532" t="s">
        <v>70</v>
      </c>
      <c r="B1532">
        <v>142</v>
      </c>
      <c r="C1532">
        <v>415</v>
      </c>
      <c r="D1532" t="s">
        <v>29</v>
      </c>
      <c r="E1532" t="s">
        <v>29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9.6300000000000008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 x14ac:dyDescent="0.25">
      <c r="A1533" t="s">
        <v>38</v>
      </c>
      <c r="B1533">
        <v>17</v>
      </c>
      <c r="C1533">
        <v>415</v>
      </c>
      <c r="D1533" t="s">
        <v>29</v>
      </c>
      <c r="E1533" t="s">
        <v>29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2.3199999999999998</v>
      </c>
      <c r="S1533">
        <v>1</v>
      </c>
      <c r="T1533" t="b">
        <v>0</v>
      </c>
    </row>
    <row r="1534" spans="1:20" x14ac:dyDescent="0.25">
      <c r="A1534" t="s">
        <v>77</v>
      </c>
      <c r="B1534">
        <v>119</v>
      </c>
      <c r="C1534">
        <v>408</v>
      </c>
      <c r="D1534" t="s">
        <v>29</v>
      </c>
      <c r="E1534" t="s">
        <v>29</v>
      </c>
      <c r="F1534">
        <v>0</v>
      </c>
      <c r="G1534">
        <v>260.10000000000002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 x14ac:dyDescent="0.25">
      <c r="A1535" t="s">
        <v>55</v>
      </c>
      <c r="B1535">
        <v>108</v>
      </c>
      <c r="C1535">
        <v>415</v>
      </c>
      <c r="D1535" t="s">
        <v>30</v>
      </c>
      <c r="E1535" t="s">
        <v>30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 x14ac:dyDescent="0.25">
      <c r="A1536" t="s">
        <v>43</v>
      </c>
      <c r="B1536">
        <v>90</v>
      </c>
      <c r="C1536">
        <v>415</v>
      </c>
      <c r="D1536" t="s">
        <v>29</v>
      </c>
      <c r="E1536" t="s">
        <v>29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9.6300000000000008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 x14ac:dyDescent="0.25">
      <c r="A1537" t="s">
        <v>60</v>
      </c>
      <c r="B1537">
        <v>100</v>
      </c>
      <c r="C1537">
        <v>415</v>
      </c>
      <c r="D1537" t="s">
        <v>29</v>
      </c>
      <c r="E1537" t="s">
        <v>30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 x14ac:dyDescent="0.25">
      <c r="A1538" t="s">
        <v>58</v>
      </c>
      <c r="B1538">
        <v>155</v>
      </c>
      <c r="C1538">
        <v>408</v>
      </c>
      <c r="D1538" t="s">
        <v>29</v>
      </c>
      <c r="E1538" t="s">
        <v>30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16.010000000000002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 x14ac:dyDescent="0.25">
      <c r="A1539" t="s">
        <v>47</v>
      </c>
      <c r="B1539">
        <v>113</v>
      </c>
      <c r="C1539">
        <v>510</v>
      </c>
      <c r="D1539" t="s">
        <v>29</v>
      </c>
      <c r="E1539" t="s">
        <v>29</v>
      </c>
      <c r="F1539">
        <v>0</v>
      </c>
      <c r="G1539">
        <v>128.69999999999999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9.1999999999999993</v>
      </c>
      <c r="Q1539">
        <v>4</v>
      </c>
      <c r="R1539">
        <v>2.48</v>
      </c>
      <c r="S1539">
        <v>2</v>
      </c>
      <c r="T1539" t="b">
        <v>1</v>
      </c>
    </row>
    <row r="1540" spans="1:20" x14ac:dyDescent="0.25">
      <c r="A1540" t="s">
        <v>57</v>
      </c>
      <c r="B1540">
        <v>123</v>
      </c>
      <c r="C1540">
        <v>415</v>
      </c>
      <c r="D1540" t="s">
        <v>29</v>
      </c>
      <c r="E1540" t="s">
        <v>29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8.6999999999999993</v>
      </c>
      <c r="Q1540">
        <v>4</v>
      </c>
      <c r="R1540">
        <v>2.35</v>
      </c>
      <c r="S1540">
        <v>1</v>
      </c>
      <c r="T1540" t="b">
        <v>0</v>
      </c>
    </row>
    <row r="1541" spans="1:20" x14ac:dyDescent="0.25">
      <c r="A1541" t="s">
        <v>43</v>
      </c>
      <c r="B1541">
        <v>145</v>
      </c>
      <c r="C1541">
        <v>408</v>
      </c>
      <c r="D1541" t="s">
        <v>29</v>
      </c>
      <c r="E1541" t="s">
        <v>29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2.0499999999999998</v>
      </c>
      <c r="S1541">
        <v>1</v>
      </c>
      <c r="T1541" t="b">
        <v>0</v>
      </c>
    </row>
    <row r="1542" spans="1:20" x14ac:dyDescent="0.25">
      <c r="A1542" t="s">
        <v>36</v>
      </c>
      <c r="B1542">
        <v>42</v>
      </c>
      <c r="C1542">
        <v>415</v>
      </c>
      <c r="D1542" t="s">
        <v>29</v>
      </c>
      <c r="E1542" t="s">
        <v>29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8.8000000000000007</v>
      </c>
      <c r="Q1542">
        <v>3</v>
      </c>
      <c r="R1542">
        <v>2.38</v>
      </c>
      <c r="S1542">
        <v>2</v>
      </c>
      <c r="T1542" t="b">
        <v>0</v>
      </c>
    </row>
    <row r="1543" spans="1:20" x14ac:dyDescent="0.25">
      <c r="A1543" t="s">
        <v>68</v>
      </c>
      <c r="B1543">
        <v>125</v>
      </c>
      <c r="C1543">
        <v>510</v>
      </c>
      <c r="D1543" t="s">
        <v>29</v>
      </c>
      <c r="E1543" t="s">
        <v>29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 x14ac:dyDescent="0.25">
      <c r="A1544" t="s">
        <v>78</v>
      </c>
      <c r="B1544">
        <v>131</v>
      </c>
      <c r="C1544">
        <v>415</v>
      </c>
      <c r="D1544" t="s">
        <v>29</v>
      </c>
      <c r="E1544" t="s">
        <v>30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 x14ac:dyDescent="0.25">
      <c r="A1545" t="s">
        <v>65</v>
      </c>
      <c r="B1545">
        <v>107</v>
      </c>
      <c r="C1545">
        <v>415</v>
      </c>
      <c r="D1545" t="s">
        <v>29</v>
      </c>
      <c r="E1545" t="s">
        <v>29</v>
      </c>
      <c r="F1545">
        <v>0</v>
      </c>
      <c r="G1545">
        <v>230.4</v>
      </c>
      <c r="H1545">
        <v>65</v>
      </c>
      <c r="I1545">
        <v>39.17</v>
      </c>
      <c r="J1545">
        <v>257.39999999999998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2.2999999999999998</v>
      </c>
      <c r="S1545">
        <v>1</v>
      </c>
      <c r="T1545" t="b">
        <v>0</v>
      </c>
    </row>
    <row r="1546" spans="1:20" x14ac:dyDescent="0.25">
      <c r="A1546" t="s">
        <v>50</v>
      </c>
      <c r="B1546">
        <v>48</v>
      </c>
      <c r="C1546">
        <v>408</v>
      </c>
      <c r="D1546" t="s">
        <v>29</v>
      </c>
      <c r="E1546" t="s">
        <v>29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17.239999999999998</v>
      </c>
      <c r="M1546">
        <v>146.4</v>
      </c>
      <c r="N1546">
        <v>73</v>
      </c>
      <c r="O1546">
        <v>6.59</v>
      </c>
      <c r="P1546">
        <v>5.0999999999999996</v>
      </c>
      <c r="Q1546">
        <v>5</v>
      </c>
      <c r="R1546">
        <v>1.38</v>
      </c>
      <c r="S1546">
        <v>1</v>
      </c>
      <c r="T1546" t="b">
        <v>0</v>
      </c>
    </row>
    <row r="1547" spans="1:20" x14ac:dyDescent="0.25">
      <c r="A1547" t="s">
        <v>50</v>
      </c>
      <c r="B1547">
        <v>76</v>
      </c>
      <c r="C1547">
        <v>510</v>
      </c>
      <c r="D1547" t="s">
        <v>29</v>
      </c>
      <c r="E1547" t="s">
        <v>29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17.989999999999998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 x14ac:dyDescent="0.25">
      <c r="A1548" t="s">
        <v>52</v>
      </c>
      <c r="B1548">
        <v>128</v>
      </c>
      <c r="C1548">
        <v>415</v>
      </c>
      <c r="D1548" t="s">
        <v>29</v>
      </c>
      <c r="E1548" t="s">
        <v>29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 x14ac:dyDescent="0.25">
      <c r="A1549" t="s">
        <v>57</v>
      </c>
      <c r="B1549">
        <v>73</v>
      </c>
      <c r="C1549">
        <v>415</v>
      </c>
      <c r="D1549" t="s">
        <v>29</v>
      </c>
      <c r="E1549" t="s">
        <v>29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 x14ac:dyDescent="0.25">
      <c r="A1550" t="s">
        <v>44</v>
      </c>
      <c r="B1550">
        <v>52</v>
      </c>
      <c r="C1550">
        <v>415</v>
      </c>
      <c r="D1550" t="s">
        <v>29</v>
      </c>
      <c r="E1550" t="s">
        <v>29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 x14ac:dyDescent="0.25">
      <c r="A1551" t="s">
        <v>64</v>
      </c>
      <c r="B1551">
        <v>124</v>
      </c>
      <c r="C1551">
        <v>415</v>
      </c>
      <c r="D1551" t="s">
        <v>29</v>
      </c>
      <c r="E1551" t="s">
        <v>29</v>
      </c>
      <c r="F1551">
        <v>0</v>
      </c>
      <c r="G1551">
        <v>188.5</v>
      </c>
      <c r="H1551">
        <v>77</v>
      </c>
      <c r="I1551">
        <v>32.049999999999997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 x14ac:dyDescent="0.25">
      <c r="A1552" t="s">
        <v>65</v>
      </c>
      <c r="B1552">
        <v>137</v>
      </c>
      <c r="C1552">
        <v>408</v>
      </c>
      <c r="D1552" t="s">
        <v>29</v>
      </c>
      <c r="E1552" t="s">
        <v>29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19.149999999999999</v>
      </c>
      <c r="M1552">
        <v>221.6</v>
      </c>
      <c r="N1552">
        <v>130</v>
      </c>
      <c r="O1552">
        <v>9.9700000000000006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 x14ac:dyDescent="0.25">
      <c r="A1553" t="s">
        <v>73</v>
      </c>
      <c r="B1553">
        <v>107</v>
      </c>
      <c r="C1553">
        <v>510</v>
      </c>
      <c r="D1553" t="s">
        <v>29</v>
      </c>
      <c r="E1553" t="s">
        <v>30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17.600000000000001</v>
      </c>
      <c r="M1553">
        <v>159.80000000000001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 x14ac:dyDescent="0.25">
      <c r="A1554" t="s">
        <v>71</v>
      </c>
      <c r="B1554">
        <v>147</v>
      </c>
      <c r="C1554">
        <v>408</v>
      </c>
      <c r="D1554" t="s">
        <v>29</v>
      </c>
      <c r="E1554" t="s">
        <v>29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17.350000000000001</v>
      </c>
      <c r="M1554">
        <v>156.19999999999999</v>
      </c>
      <c r="N1554">
        <v>113</v>
      </c>
      <c r="O1554">
        <v>7.03</v>
      </c>
      <c r="P1554">
        <v>10.199999999999999</v>
      </c>
      <c r="Q1554">
        <v>2</v>
      </c>
      <c r="R1554">
        <v>2.75</v>
      </c>
      <c r="S1554">
        <v>1</v>
      </c>
      <c r="T1554" t="b">
        <v>0</v>
      </c>
    </row>
    <row r="1555" spans="1:20" x14ac:dyDescent="0.25">
      <c r="A1555" t="s">
        <v>38</v>
      </c>
      <c r="B1555">
        <v>116</v>
      </c>
      <c r="C1555">
        <v>510</v>
      </c>
      <c r="D1555" t="s">
        <v>29</v>
      </c>
      <c r="E1555" t="s">
        <v>29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10.199999999999999</v>
      </c>
      <c r="M1555">
        <v>130.30000000000001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 x14ac:dyDescent="0.25">
      <c r="A1556" t="s">
        <v>70</v>
      </c>
      <c r="B1556">
        <v>60</v>
      </c>
      <c r="C1556">
        <v>510</v>
      </c>
      <c r="D1556" t="s">
        <v>29</v>
      </c>
      <c r="E1556" t="s">
        <v>30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 x14ac:dyDescent="0.25">
      <c r="A1557" t="s">
        <v>44</v>
      </c>
      <c r="B1557">
        <v>38</v>
      </c>
      <c r="C1557">
        <v>510</v>
      </c>
      <c r="D1557" t="s">
        <v>29</v>
      </c>
      <c r="E1557" t="s">
        <v>29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163.30000000000001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 x14ac:dyDescent="0.25">
      <c r="A1558" t="s">
        <v>59</v>
      </c>
      <c r="B1558">
        <v>63</v>
      </c>
      <c r="C1558">
        <v>408</v>
      </c>
      <c r="D1558" t="s">
        <v>29</v>
      </c>
      <c r="E1558" t="s">
        <v>29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162.19999999999999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 x14ac:dyDescent="0.25">
      <c r="A1559" t="s">
        <v>67</v>
      </c>
      <c r="B1559">
        <v>94</v>
      </c>
      <c r="C1559">
        <v>415</v>
      </c>
      <c r="D1559" t="s">
        <v>29</v>
      </c>
      <c r="E1559" t="s">
        <v>29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 x14ac:dyDescent="0.25">
      <c r="A1560" t="s">
        <v>38</v>
      </c>
      <c r="B1560">
        <v>131</v>
      </c>
      <c r="C1560">
        <v>415</v>
      </c>
      <c r="D1560" t="s">
        <v>29</v>
      </c>
      <c r="E1560" t="s">
        <v>29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142.69999999999999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 x14ac:dyDescent="0.25">
      <c r="A1561" t="s">
        <v>73</v>
      </c>
      <c r="B1561">
        <v>158</v>
      </c>
      <c r="C1561">
        <v>510</v>
      </c>
      <c r="D1561" t="s">
        <v>29</v>
      </c>
      <c r="E1561" t="s">
        <v>29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16.010000000000002</v>
      </c>
      <c r="M1561">
        <v>188.3</v>
      </c>
      <c r="N1561">
        <v>98</v>
      </c>
      <c r="O1561">
        <v>8.4700000000000006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 x14ac:dyDescent="0.25">
      <c r="A1562" t="s">
        <v>70</v>
      </c>
      <c r="B1562">
        <v>139</v>
      </c>
      <c r="C1562">
        <v>510</v>
      </c>
      <c r="D1562" t="s">
        <v>29</v>
      </c>
      <c r="E1562" t="s">
        <v>29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9.5500000000000007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 x14ac:dyDescent="0.25">
      <c r="A1563" t="s">
        <v>57</v>
      </c>
      <c r="B1563">
        <v>140</v>
      </c>
      <c r="C1563">
        <v>415</v>
      </c>
      <c r="D1563" t="s">
        <v>29</v>
      </c>
      <c r="E1563" t="s">
        <v>29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 x14ac:dyDescent="0.25">
      <c r="A1564" t="s">
        <v>63</v>
      </c>
      <c r="B1564">
        <v>52</v>
      </c>
      <c r="C1564">
        <v>510</v>
      </c>
      <c r="D1564" t="s">
        <v>29</v>
      </c>
      <c r="E1564" t="s">
        <v>30</v>
      </c>
      <c r="F1564">
        <v>20</v>
      </c>
      <c r="G1564">
        <v>133.30000000000001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272.89999999999998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 x14ac:dyDescent="0.25">
      <c r="A1565" t="s">
        <v>43</v>
      </c>
      <c r="B1565">
        <v>103</v>
      </c>
      <c r="C1565">
        <v>510</v>
      </c>
      <c r="D1565" t="s">
        <v>29</v>
      </c>
      <c r="E1565" t="s">
        <v>29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18.100000000000001</v>
      </c>
      <c r="M1565">
        <v>208.2</v>
      </c>
      <c r="N1565">
        <v>73</v>
      </c>
      <c r="O1565">
        <v>9.3699999999999992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 x14ac:dyDescent="0.25">
      <c r="A1566" t="s">
        <v>46</v>
      </c>
      <c r="B1566">
        <v>85</v>
      </c>
      <c r="C1566">
        <v>510</v>
      </c>
      <c r="D1566" t="s">
        <v>29</v>
      </c>
      <c r="E1566" t="s">
        <v>30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 x14ac:dyDescent="0.25">
      <c r="A1567" t="s">
        <v>65</v>
      </c>
      <c r="B1567">
        <v>71</v>
      </c>
      <c r="C1567">
        <v>408</v>
      </c>
      <c r="D1567" t="s">
        <v>29</v>
      </c>
      <c r="E1567" t="s">
        <v>29</v>
      </c>
      <c r="F1567">
        <v>0</v>
      </c>
      <c r="G1567">
        <v>141.19999999999999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 x14ac:dyDescent="0.25">
      <c r="A1568" t="s">
        <v>68</v>
      </c>
      <c r="B1568">
        <v>177</v>
      </c>
      <c r="C1568">
        <v>415</v>
      </c>
      <c r="D1568" t="s">
        <v>29</v>
      </c>
      <c r="E1568" t="s">
        <v>30</v>
      </c>
      <c r="F1568">
        <v>27</v>
      </c>
      <c r="G1568">
        <v>230.2</v>
      </c>
      <c r="H1568">
        <v>106</v>
      </c>
      <c r="I1568">
        <v>39.130000000000003</v>
      </c>
      <c r="J1568">
        <v>196.1</v>
      </c>
      <c r="K1568">
        <v>78</v>
      </c>
      <c r="L1568">
        <v>16.670000000000002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 x14ac:dyDescent="0.25">
      <c r="A1569" t="s">
        <v>75</v>
      </c>
      <c r="B1569">
        <v>49</v>
      </c>
      <c r="C1569">
        <v>415</v>
      </c>
      <c r="D1569" t="s">
        <v>30</v>
      </c>
      <c r="E1569" t="s">
        <v>29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17.760000000000002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 x14ac:dyDescent="0.25">
      <c r="A1570" t="s">
        <v>38</v>
      </c>
      <c r="B1570">
        <v>106</v>
      </c>
      <c r="C1570">
        <v>510</v>
      </c>
      <c r="D1570" t="s">
        <v>30</v>
      </c>
      <c r="E1570" t="s">
        <v>29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 x14ac:dyDescent="0.25">
      <c r="A1571" t="s">
        <v>41</v>
      </c>
      <c r="B1571">
        <v>60</v>
      </c>
      <c r="C1571">
        <v>510</v>
      </c>
      <c r="D1571" t="s">
        <v>29</v>
      </c>
      <c r="E1571" t="s">
        <v>29</v>
      </c>
      <c r="F1571">
        <v>0</v>
      </c>
      <c r="G1571">
        <v>221.1</v>
      </c>
      <c r="H1571">
        <v>106</v>
      </c>
      <c r="I1571">
        <v>37.590000000000003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9.1199999999999992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 x14ac:dyDescent="0.25">
      <c r="A1572" t="s">
        <v>71</v>
      </c>
      <c r="B1572">
        <v>43</v>
      </c>
      <c r="C1572">
        <v>408</v>
      </c>
      <c r="D1572" t="s">
        <v>29</v>
      </c>
      <c r="E1572" t="s">
        <v>29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314.10000000000002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 x14ac:dyDescent="0.25">
      <c r="A1573" t="s">
        <v>63</v>
      </c>
      <c r="B1573">
        <v>125</v>
      </c>
      <c r="C1573">
        <v>415</v>
      </c>
      <c r="D1573" t="s">
        <v>29</v>
      </c>
      <c r="E1573" t="s">
        <v>29</v>
      </c>
      <c r="F1573">
        <v>0</v>
      </c>
      <c r="G1573">
        <v>163.80000000000001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 x14ac:dyDescent="0.25">
      <c r="A1574" t="s">
        <v>75</v>
      </c>
      <c r="B1574">
        <v>114</v>
      </c>
      <c r="C1574">
        <v>510</v>
      </c>
      <c r="D1574" t="s">
        <v>29</v>
      </c>
      <c r="E1574" t="s">
        <v>30</v>
      </c>
      <c r="F1574">
        <v>4</v>
      </c>
      <c r="G1574">
        <v>141.30000000000001</v>
      </c>
      <c r="H1574">
        <v>96</v>
      </c>
      <c r="I1574">
        <v>24.02</v>
      </c>
      <c r="J1574">
        <v>230.4</v>
      </c>
      <c r="K1574">
        <v>88</v>
      </c>
      <c r="L1574">
        <v>19.579999999999998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 x14ac:dyDescent="0.25">
      <c r="A1575" t="s">
        <v>76</v>
      </c>
      <c r="B1575">
        <v>112</v>
      </c>
      <c r="C1575">
        <v>415</v>
      </c>
      <c r="D1575" t="s">
        <v>29</v>
      </c>
      <c r="E1575" t="s">
        <v>29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16.399999999999999</v>
      </c>
      <c r="Q1575">
        <v>5</v>
      </c>
      <c r="R1575">
        <v>4.43</v>
      </c>
      <c r="S1575">
        <v>3</v>
      </c>
      <c r="T1575" t="b">
        <v>1</v>
      </c>
    </row>
    <row r="1576" spans="1:20" x14ac:dyDescent="0.25">
      <c r="A1576" t="s">
        <v>40</v>
      </c>
      <c r="B1576">
        <v>101</v>
      </c>
      <c r="C1576">
        <v>408</v>
      </c>
      <c r="D1576" t="s">
        <v>29</v>
      </c>
      <c r="E1576" t="s">
        <v>30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8.1999999999999993</v>
      </c>
      <c r="Q1576">
        <v>5</v>
      </c>
      <c r="R1576">
        <v>2.21</v>
      </c>
      <c r="S1576">
        <v>2</v>
      </c>
      <c r="T1576" t="b">
        <v>0</v>
      </c>
    </row>
    <row r="1577" spans="1:20" x14ac:dyDescent="0.25">
      <c r="A1577" t="s">
        <v>57</v>
      </c>
      <c r="B1577">
        <v>70</v>
      </c>
      <c r="C1577">
        <v>415</v>
      </c>
      <c r="D1577" t="s">
        <v>29</v>
      </c>
      <c r="E1577" t="s">
        <v>29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 x14ac:dyDescent="0.25">
      <c r="A1578" t="s">
        <v>54</v>
      </c>
      <c r="B1578">
        <v>59</v>
      </c>
      <c r="C1578">
        <v>408</v>
      </c>
      <c r="D1578" t="s">
        <v>29</v>
      </c>
      <c r="E1578" t="s">
        <v>29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10.199999999999999</v>
      </c>
      <c r="Q1578">
        <v>4</v>
      </c>
      <c r="R1578">
        <v>2.75</v>
      </c>
      <c r="S1578">
        <v>0</v>
      </c>
      <c r="T1578" t="b">
        <v>0</v>
      </c>
    </row>
    <row r="1579" spans="1:20" x14ac:dyDescent="0.25">
      <c r="A1579" t="s">
        <v>47</v>
      </c>
      <c r="B1579">
        <v>59</v>
      </c>
      <c r="C1579">
        <v>408</v>
      </c>
      <c r="D1579" t="s">
        <v>29</v>
      </c>
      <c r="E1579" t="s">
        <v>29</v>
      </c>
      <c r="F1579">
        <v>0</v>
      </c>
      <c r="G1579">
        <v>150.19999999999999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 x14ac:dyDescent="0.25">
      <c r="A1580" t="s">
        <v>59</v>
      </c>
      <c r="B1580">
        <v>99</v>
      </c>
      <c r="C1580">
        <v>415</v>
      </c>
      <c r="D1580" t="s">
        <v>29</v>
      </c>
      <c r="E1580" t="s">
        <v>29</v>
      </c>
      <c r="F1580">
        <v>0</v>
      </c>
      <c r="G1580">
        <v>140.69999999999999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 x14ac:dyDescent="0.25">
      <c r="A1581" t="s">
        <v>43</v>
      </c>
      <c r="B1581">
        <v>150</v>
      </c>
      <c r="C1581">
        <v>510</v>
      </c>
      <c r="D1581" t="s">
        <v>29</v>
      </c>
      <c r="E1581" t="s">
        <v>29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 x14ac:dyDescent="0.25">
      <c r="A1582" t="s">
        <v>35</v>
      </c>
      <c r="B1582">
        <v>81</v>
      </c>
      <c r="C1582">
        <v>510</v>
      </c>
      <c r="D1582" t="s">
        <v>29</v>
      </c>
      <c r="E1582" t="s">
        <v>29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8.2799999999999994</v>
      </c>
      <c r="P1582">
        <v>7.6</v>
      </c>
      <c r="Q1582">
        <v>3</v>
      </c>
      <c r="R1582">
        <v>2.0499999999999998</v>
      </c>
      <c r="S1582">
        <v>2</v>
      </c>
      <c r="T1582" t="b">
        <v>0</v>
      </c>
    </row>
    <row r="1583" spans="1:20" x14ac:dyDescent="0.25">
      <c r="A1583" t="s">
        <v>60</v>
      </c>
      <c r="B1583">
        <v>86</v>
      </c>
      <c r="C1583">
        <v>510</v>
      </c>
      <c r="D1583" t="s">
        <v>29</v>
      </c>
      <c r="E1583" t="s">
        <v>29</v>
      </c>
      <c r="F1583">
        <v>0</v>
      </c>
      <c r="G1583">
        <v>216.3</v>
      </c>
      <c r="H1583">
        <v>96</v>
      </c>
      <c r="I1583">
        <v>36.770000000000003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9.6300000000000008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 x14ac:dyDescent="0.25">
      <c r="A1584" t="s">
        <v>55</v>
      </c>
      <c r="B1584">
        <v>84</v>
      </c>
      <c r="C1584">
        <v>510</v>
      </c>
      <c r="D1584" t="s">
        <v>29</v>
      </c>
      <c r="E1584" t="s">
        <v>29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 x14ac:dyDescent="0.25">
      <c r="A1585" t="s">
        <v>68</v>
      </c>
      <c r="B1585">
        <v>118</v>
      </c>
      <c r="C1585">
        <v>510</v>
      </c>
      <c r="D1585" t="s">
        <v>29</v>
      </c>
      <c r="E1585" t="s">
        <v>30</v>
      </c>
      <c r="F1585">
        <v>35</v>
      </c>
      <c r="G1585">
        <v>256.3</v>
      </c>
      <c r="H1585">
        <v>119</v>
      </c>
      <c r="I1585">
        <v>43.57</v>
      </c>
      <c r="J1585">
        <v>258.10000000000002</v>
      </c>
      <c r="K1585">
        <v>91</v>
      </c>
      <c r="L1585">
        <v>21.94</v>
      </c>
      <c r="M1585">
        <v>215.5</v>
      </c>
      <c r="N1585">
        <v>130</v>
      </c>
      <c r="O1585">
        <v>9.6999999999999993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 x14ac:dyDescent="0.25">
      <c r="A1586" t="s">
        <v>46</v>
      </c>
      <c r="B1586">
        <v>89</v>
      </c>
      <c r="C1586">
        <v>415</v>
      </c>
      <c r="D1586" t="s">
        <v>29</v>
      </c>
      <c r="E1586" t="s">
        <v>29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2.0499999999999998</v>
      </c>
      <c r="S1586">
        <v>1</v>
      </c>
      <c r="T1586" t="b">
        <v>0</v>
      </c>
    </row>
    <row r="1587" spans="1:20" x14ac:dyDescent="0.25">
      <c r="A1587" t="s">
        <v>28</v>
      </c>
      <c r="B1587">
        <v>93</v>
      </c>
      <c r="C1587">
        <v>415</v>
      </c>
      <c r="D1587" t="s">
        <v>29</v>
      </c>
      <c r="E1587" t="s">
        <v>29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 x14ac:dyDescent="0.25">
      <c r="A1588" t="s">
        <v>56</v>
      </c>
      <c r="B1588">
        <v>85</v>
      </c>
      <c r="C1588">
        <v>415</v>
      </c>
      <c r="D1588" t="s">
        <v>29</v>
      </c>
      <c r="E1588" t="s">
        <v>29</v>
      </c>
      <c r="F1588">
        <v>0</v>
      </c>
      <c r="G1588">
        <v>96.7</v>
      </c>
      <c r="H1588">
        <v>97</v>
      </c>
      <c r="I1588">
        <v>16.440000000000001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9.6999999999999993</v>
      </c>
      <c r="Q1588">
        <v>3</v>
      </c>
      <c r="R1588">
        <v>2.62</v>
      </c>
      <c r="S1588">
        <v>2</v>
      </c>
      <c r="T1588" t="b">
        <v>0</v>
      </c>
    </row>
    <row r="1589" spans="1:20" x14ac:dyDescent="0.25">
      <c r="A1589" t="s">
        <v>49</v>
      </c>
      <c r="B1589">
        <v>160</v>
      </c>
      <c r="C1589">
        <v>408</v>
      </c>
      <c r="D1589" t="s">
        <v>29</v>
      </c>
      <c r="E1589" t="s">
        <v>29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 x14ac:dyDescent="0.25">
      <c r="A1590" t="s">
        <v>77</v>
      </c>
      <c r="B1590">
        <v>28</v>
      </c>
      <c r="C1590">
        <v>415</v>
      </c>
      <c r="D1590" t="s">
        <v>29</v>
      </c>
      <c r="E1590" t="s">
        <v>29</v>
      </c>
      <c r="F1590">
        <v>0</v>
      </c>
      <c r="G1590">
        <v>168.2</v>
      </c>
      <c r="H1590">
        <v>87</v>
      </c>
      <c r="I1590">
        <v>28.59</v>
      </c>
      <c r="J1590">
        <v>161.69999999999999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 x14ac:dyDescent="0.25">
      <c r="A1591" t="s">
        <v>44</v>
      </c>
      <c r="B1591">
        <v>73</v>
      </c>
      <c r="C1591">
        <v>408</v>
      </c>
      <c r="D1591" t="s">
        <v>29</v>
      </c>
      <c r="E1591" t="s">
        <v>29</v>
      </c>
      <c r="F1591">
        <v>0</v>
      </c>
      <c r="G1591">
        <v>286.39999999999998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 x14ac:dyDescent="0.25">
      <c r="A1592" t="s">
        <v>70</v>
      </c>
      <c r="B1592">
        <v>156</v>
      </c>
      <c r="C1592">
        <v>408</v>
      </c>
      <c r="D1592" t="s">
        <v>29</v>
      </c>
      <c r="E1592" t="s">
        <v>29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 x14ac:dyDescent="0.25">
      <c r="A1593" t="s">
        <v>58</v>
      </c>
      <c r="B1593">
        <v>33</v>
      </c>
      <c r="C1593">
        <v>415</v>
      </c>
      <c r="D1593" t="s">
        <v>30</v>
      </c>
      <c r="E1593" t="s">
        <v>29</v>
      </c>
      <c r="F1593">
        <v>0</v>
      </c>
      <c r="G1593">
        <v>190.6</v>
      </c>
      <c r="H1593">
        <v>100</v>
      </c>
      <c r="I1593">
        <v>32.4</v>
      </c>
      <c r="J1593">
        <v>161.69999999999999</v>
      </c>
      <c r="K1593">
        <v>104</v>
      </c>
      <c r="L1593">
        <v>13.74</v>
      </c>
      <c r="M1593">
        <v>189.9</v>
      </c>
      <c r="N1593">
        <v>136</v>
      </c>
      <c r="O1593">
        <v>8.5500000000000007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 x14ac:dyDescent="0.25">
      <c r="A1594" t="s">
        <v>62</v>
      </c>
      <c r="B1594">
        <v>77</v>
      </c>
      <c r="C1594">
        <v>510</v>
      </c>
      <c r="D1594" t="s">
        <v>29</v>
      </c>
      <c r="E1594" t="s">
        <v>29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4.8099999999999996</v>
      </c>
      <c r="S1594">
        <v>4</v>
      </c>
      <c r="T1594" t="b">
        <v>0</v>
      </c>
    </row>
    <row r="1595" spans="1:20" x14ac:dyDescent="0.25">
      <c r="A1595" t="s">
        <v>70</v>
      </c>
      <c r="B1595">
        <v>119</v>
      </c>
      <c r="C1595">
        <v>415</v>
      </c>
      <c r="D1595" t="s">
        <v>29</v>
      </c>
      <c r="E1595" t="s">
        <v>29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 x14ac:dyDescent="0.25">
      <c r="A1596" t="s">
        <v>56</v>
      </c>
      <c r="B1596">
        <v>91</v>
      </c>
      <c r="C1596">
        <v>510</v>
      </c>
      <c r="D1596" t="s">
        <v>29</v>
      </c>
      <c r="E1596" t="s">
        <v>30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9.4700000000000006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 x14ac:dyDescent="0.25">
      <c r="A1597" t="s">
        <v>74</v>
      </c>
      <c r="B1597">
        <v>102</v>
      </c>
      <c r="C1597">
        <v>510</v>
      </c>
      <c r="D1597" t="s">
        <v>29</v>
      </c>
      <c r="E1597" t="s">
        <v>29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 x14ac:dyDescent="0.25">
      <c r="A1598" t="s">
        <v>33</v>
      </c>
      <c r="B1598">
        <v>86</v>
      </c>
      <c r="C1598">
        <v>415</v>
      </c>
      <c r="D1598" t="s">
        <v>29</v>
      </c>
      <c r="E1598" t="s">
        <v>30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4.2699999999999996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 x14ac:dyDescent="0.25">
      <c r="A1599" t="s">
        <v>44</v>
      </c>
      <c r="B1599">
        <v>82</v>
      </c>
      <c r="C1599">
        <v>415</v>
      </c>
      <c r="D1599" t="s">
        <v>29</v>
      </c>
      <c r="E1599" t="s">
        <v>29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8.0399999999999991</v>
      </c>
      <c r="P1599">
        <v>8.3000000000000007</v>
      </c>
      <c r="Q1599">
        <v>4</v>
      </c>
      <c r="R1599">
        <v>2.2400000000000002</v>
      </c>
      <c r="S1599">
        <v>0</v>
      </c>
      <c r="T1599" t="b">
        <v>0</v>
      </c>
    </row>
    <row r="1600" spans="1:20" x14ac:dyDescent="0.25">
      <c r="A1600" t="s">
        <v>64</v>
      </c>
      <c r="B1600">
        <v>89</v>
      </c>
      <c r="C1600">
        <v>408</v>
      </c>
      <c r="D1600" t="s">
        <v>29</v>
      </c>
      <c r="E1600" t="s">
        <v>29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 x14ac:dyDescent="0.25">
      <c r="A1601" t="s">
        <v>41</v>
      </c>
      <c r="B1601">
        <v>86</v>
      </c>
      <c r="C1601">
        <v>415</v>
      </c>
      <c r="D1601" t="s">
        <v>29</v>
      </c>
      <c r="E1601" t="s">
        <v>29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9.3000000000000007</v>
      </c>
      <c r="Q1601">
        <v>7</v>
      </c>
      <c r="R1601">
        <v>2.5099999999999998</v>
      </c>
      <c r="S1601">
        <v>3</v>
      </c>
      <c r="T1601" t="b">
        <v>0</v>
      </c>
    </row>
    <row r="1602" spans="1:20" x14ac:dyDescent="0.25">
      <c r="A1602" t="s">
        <v>58</v>
      </c>
      <c r="B1602">
        <v>92</v>
      </c>
      <c r="C1602">
        <v>415</v>
      </c>
      <c r="D1602" t="s">
        <v>29</v>
      </c>
      <c r="E1602" t="s">
        <v>29</v>
      </c>
      <c r="F1602">
        <v>0</v>
      </c>
      <c r="G1602">
        <v>196.5</v>
      </c>
      <c r="H1602">
        <v>82</v>
      </c>
      <c r="I1602">
        <v>33.409999999999997</v>
      </c>
      <c r="J1602">
        <v>190</v>
      </c>
      <c r="K1602">
        <v>89</v>
      </c>
      <c r="L1602">
        <v>16.149999999999999</v>
      </c>
      <c r="M1602">
        <v>163.19999999999999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 x14ac:dyDescent="0.25">
      <c r="A1603" t="s">
        <v>63</v>
      </c>
      <c r="B1603">
        <v>87</v>
      </c>
      <c r="C1603">
        <v>510</v>
      </c>
      <c r="D1603" t="s">
        <v>29</v>
      </c>
      <c r="E1603" t="s">
        <v>29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 x14ac:dyDescent="0.25">
      <c r="A1604" t="s">
        <v>48</v>
      </c>
      <c r="B1604">
        <v>64</v>
      </c>
      <c r="C1604">
        <v>408</v>
      </c>
      <c r="D1604" t="s">
        <v>29</v>
      </c>
      <c r="E1604" t="s">
        <v>29</v>
      </c>
      <c r="F1604">
        <v>0</v>
      </c>
      <c r="G1604">
        <v>261.89999999999998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145.19999999999999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 x14ac:dyDescent="0.25">
      <c r="A1605" t="s">
        <v>38</v>
      </c>
      <c r="B1605">
        <v>80</v>
      </c>
      <c r="C1605">
        <v>510</v>
      </c>
      <c r="D1605" t="s">
        <v>29</v>
      </c>
      <c r="E1605" t="s">
        <v>29</v>
      </c>
      <c r="F1605">
        <v>0</v>
      </c>
      <c r="G1605">
        <v>202.4</v>
      </c>
      <c r="H1605">
        <v>118</v>
      </c>
      <c r="I1605">
        <v>34.409999999999997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9.1999999999999993</v>
      </c>
      <c r="Q1605">
        <v>5</v>
      </c>
      <c r="R1605">
        <v>2.48</v>
      </c>
      <c r="S1605">
        <v>3</v>
      </c>
      <c r="T1605" t="b">
        <v>0</v>
      </c>
    </row>
    <row r="1606" spans="1:20" x14ac:dyDescent="0.25">
      <c r="A1606" t="s">
        <v>55</v>
      </c>
      <c r="B1606">
        <v>165</v>
      </c>
      <c r="C1606">
        <v>415</v>
      </c>
      <c r="D1606" t="s">
        <v>29</v>
      </c>
      <c r="E1606" t="s">
        <v>30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 x14ac:dyDescent="0.25">
      <c r="A1607" t="s">
        <v>41</v>
      </c>
      <c r="B1607">
        <v>153</v>
      </c>
      <c r="C1607">
        <v>415</v>
      </c>
      <c r="D1607" t="s">
        <v>29</v>
      </c>
      <c r="E1607" t="s">
        <v>30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2.0299999999999998</v>
      </c>
      <c r="S1607">
        <v>1</v>
      </c>
      <c r="T1607" t="b">
        <v>0</v>
      </c>
    </row>
    <row r="1608" spans="1:20" x14ac:dyDescent="0.25">
      <c r="A1608" t="s">
        <v>63</v>
      </c>
      <c r="B1608">
        <v>108</v>
      </c>
      <c r="C1608">
        <v>415</v>
      </c>
      <c r="D1608" t="s">
        <v>29</v>
      </c>
      <c r="E1608" t="s">
        <v>29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19.579999999999998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 x14ac:dyDescent="0.25">
      <c r="A1609" t="s">
        <v>70</v>
      </c>
      <c r="B1609">
        <v>104</v>
      </c>
      <c r="C1609">
        <v>415</v>
      </c>
      <c r="D1609" t="s">
        <v>29</v>
      </c>
      <c r="E1609" t="s">
        <v>30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8.9700000000000006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 x14ac:dyDescent="0.25">
      <c r="A1610" t="s">
        <v>59</v>
      </c>
      <c r="B1610">
        <v>115</v>
      </c>
      <c r="C1610">
        <v>408</v>
      </c>
      <c r="D1610" t="s">
        <v>29</v>
      </c>
      <c r="E1610" t="s">
        <v>29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 x14ac:dyDescent="0.25">
      <c r="A1611" t="s">
        <v>33</v>
      </c>
      <c r="B1611">
        <v>87</v>
      </c>
      <c r="C1611">
        <v>415</v>
      </c>
      <c r="D1611" t="s">
        <v>29</v>
      </c>
      <c r="E1611" t="s">
        <v>29</v>
      </c>
      <c r="F1611">
        <v>0</v>
      </c>
      <c r="G1611">
        <v>205.2</v>
      </c>
      <c r="H1611">
        <v>106</v>
      </c>
      <c r="I1611">
        <v>34.880000000000003</v>
      </c>
      <c r="J1611">
        <v>99.5</v>
      </c>
      <c r="K1611">
        <v>122</v>
      </c>
      <c r="L1611">
        <v>8.4600000000000009</v>
      </c>
      <c r="M1611">
        <v>189.5</v>
      </c>
      <c r="N1611">
        <v>75</v>
      </c>
      <c r="O1611">
        <v>8.5299999999999994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 x14ac:dyDescent="0.25">
      <c r="A1612" t="s">
        <v>60</v>
      </c>
      <c r="B1612">
        <v>119</v>
      </c>
      <c r="C1612">
        <v>510</v>
      </c>
      <c r="D1612" t="s">
        <v>29</v>
      </c>
      <c r="E1612" t="s">
        <v>29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 x14ac:dyDescent="0.25">
      <c r="A1613" t="s">
        <v>68</v>
      </c>
      <c r="B1613">
        <v>69</v>
      </c>
      <c r="C1613">
        <v>415</v>
      </c>
      <c r="D1613" t="s">
        <v>29</v>
      </c>
      <c r="E1613" t="s">
        <v>29</v>
      </c>
      <c r="F1613">
        <v>0</v>
      </c>
      <c r="G1613">
        <v>153.69999999999999</v>
      </c>
      <c r="H1613">
        <v>109</v>
      </c>
      <c r="I1613">
        <v>26.13</v>
      </c>
      <c r="J1613">
        <v>194</v>
      </c>
      <c r="K1613">
        <v>105</v>
      </c>
      <c r="L1613">
        <v>16.489999999999998</v>
      </c>
      <c r="M1613">
        <v>256.10000000000002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 x14ac:dyDescent="0.25">
      <c r="A1614" t="s">
        <v>63</v>
      </c>
      <c r="B1614">
        <v>93</v>
      </c>
      <c r="C1614">
        <v>510</v>
      </c>
      <c r="D1614" t="s">
        <v>29</v>
      </c>
      <c r="E1614" t="s">
        <v>29</v>
      </c>
      <c r="F1614">
        <v>0</v>
      </c>
      <c r="G1614">
        <v>328.1</v>
      </c>
      <c r="H1614">
        <v>106</v>
      </c>
      <c r="I1614">
        <v>55.78</v>
      </c>
      <c r="J1614">
        <v>151.69999999999999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8.6999999999999993</v>
      </c>
      <c r="Q1614">
        <v>3</v>
      </c>
      <c r="R1614">
        <v>2.35</v>
      </c>
      <c r="S1614">
        <v>1</v>
      </c>
      <c r="T1614" t="b">
        <v>1</v>
      </c>
    </row>
    <row r="1615" spans="1:20" x14ac:dyDescent="0.25">
      <c r="A1615" t="s">
        <v>33</v>
      </c>
      <c r="B1615">
        <v>154</v>
      </c>
      <c r="C1615">
        <v>415</v>
      </c>
      <c r="D1615" t="s">
        <v>30</v>
      </c>
      <c r="E1615" t="s">
        <v>29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 x14ac:dyDescent="0.25">
      <c r="A1616" t="s">
        <v>28</v>
      </c>
      <c r="B1616">
        <v>57</v>
      </c>
      <c r="C1616">
        <v>415</v>
      </c>
      <c r="D1616" t="s">
        <v>29</v>
      </c>
      <c r="E1616" t="s">
        <v>30</v>
      </c>
      <c r="F1616">
        <v>37</v>
      </c>
      <c r="G1616">
        <v>201.2</v>
      </c>
      <c r="H1616">
        <v>76</v>
      </c>
      <c r="I1616">
        <v>34.200000000000003</v>
      </c>
      <c r="J1616">
        <v>280.10000000000002</v>
      </c>
      <c r="K1616">
        <v>122</v>
      </c>
      <c r="L1616">
        <v>23.81</v>
      </c>
      <c r="M1616">
        <v>154.19999999999999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 x14ac:dyDescent="0.25">
      <c r="A1617" t="s">
        <v>39</v>
      </c>
      <c r="B1617">
        <v>130</v>
      </c>
      <c r="C1617">
        <v>510</v>
      </c>
      <c r="D1617" t="s">
        <v>29</v>
      </c>
      <c r="E1617" t="s">
        <v>29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 x14ac:dyDescent="0.25">
      <c r="A1618" t="s">
        <v>32</v>
      </c>
      <c r="B1618">
        <v>151</v>
      </c>
      <c r="C1618">
        <v>415</v>
      </c>
      <c r="D1618" t="s">
        <v>29</v>
      </c>
      <c r="E1618" t="s">
        <v>29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 x14ac:dyDescent="0.25">
      <c r="A1619" t="s">
        <v>32</v>
      </c>
      <c r="B1619">
        <v>162</v>
      </c>
      <c r="C1619">
        <v>408</v>
      </c>
      <c r="D1619" t="s">
        <v>29</v>
      </c>
      <c r="E1619" t="s">
        <v>29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 x14ac:dyDescent="0.25">
      <c r="A1620" t="s">
        <v>40</v>
      </c>
      <c r="B1620">
        <v>60</v>
      </c>
      <c r="C1620">
        <v>415</v>
      </c>
      <c r="D1620" t="s">
        <v>29</v>
      </c>
      <c r="E1620" t="s">
        <v>29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 x14ac:dyDescent="0.25">
      <c r="A1621" t="s">
        <v>39</v>
      </c>
      <c r="B1621">
        <v>81</v>
      </c>
      <c r="C1621">
        <v>510</v>
      </c>
      <c r="D1621" t="s">
        <v>29</v>
      </c>
      <c r="E1621" t="s">
        <v>29</v>
      </c>
      <c r="F1621">
        <v>0</v>
      </c>
      <c r="G1621">
        <v>203.5</v>
      </c>
      <c r="H1621">
        <v>89</v>
      </c>
      <c r="I1621">
        <v>34.6</v>
      </c>
      <c r="J1621">
        <v>289.60000000000002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8.6999999999999993</v>
      </c>
      <c r="Q1621">
        <v>3</v>
      </c>
      <c r="R1621">
        <v>2.35</v>
      </c>
      <c r="S1621">
        <v>3</v>
      </c>
      <c r="T1621" t="b">
        <v>0</v>
      </c>
    </row>
    <row r="1622" spans="1:20" x14ac:dyDescent="0.25">
      <c r="A1622" t="s">
        <v>44</v>
      </c>
      <c r="B1622">
        <v>136</v>
      </c>
      <c r="C1622">
        <v>408</v>
      </c>
      <c r="D1622" t="s">
        <v>29</v>
      </c>
      <c r="E1622" t="s">
        <v>29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 x14ac:dyDescent="0.25">
      <c r="A1623" t="s">
        <v>73</v>
      </c>
      <c r="B1623">
        <v>121</v>
      </c>
      <c r="C1623">
        <v>415</v>
      </c>
      <c r="D1623" t="s">
        <v>29</v>
      </c>
      <c r="E1623" t="s">
        <v>30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 x14ac:dyDescent="0.25">
      <c r="A1624" t="s">
        <v>39</v>
      </c>
      <c r="B1624">
        <v>105</v>
      </c>
      <c r="C1624">
        <v>510</v>
      </c>
      <c r="D1624" t="s">
        <v>29</v>
      </c>
      <c r="E1624" t="s">
        <v>30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269.89999999999998</v>
      </c>
      <c r="N1624">
        <v>85</v>
      </c>
      <c r="O1624">
        <v>12.15</v>
      </c>
      <c r="P1624">
        <v>9.6999999999999993</v>
      </c>
      <c r="Q1624">
        <v>1</v>
      </c>
      <c r="R1624">
        <v>2.62</v>
      </c>
      <c r="S1624">
        <v>2</v>
      </c>
      <c r="T1624" t="b">
        <v>0</v>
      </c>
    </row>
    <row r="1625" spans="1:20" x14ac:dyDescent="0.25">
      <c r="A1625" t="s">
        <v>57</v>
      </c>
      <c r="B1625">
        <v>105</v>
      </c>
      <c r="C1625">
        <v>415</v>
      </c>
      <c r="D1625" t="s">
        <v>29</v>
      </c>
      <c r="E1625" t="s">
        <v>30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 x14ac:dyDescent="0.25">
      <c r="A1626" t="s">
        <v>40</v>
      </c>
      <c r="B1626">
        <v>51</v>
      </c>
      <c r="C1626">
        <v>415</v>
      </c>
      <c r="D1626" t="s">
        <v>29</v>
      </c>
      <c r="E1626" t="s">
        <v>30</v>
      </c>
      <c r="F1626">
        <v>26</v>
      </c>
      <c r="G1626">
        <v>236.8</v>
      </c>
      <c r="H1626">
        <v>61</v>
      </c>
      <c r="I1626">
        <v>40.26</v>
      </c>
      <c r="J1626">
        <v>263.39999999999998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 x14ac:dyDescent="0.25">
      <c r="A1627" t="s">
        <v>53</v>
      </c>
      <c r="B1627">
        <v>64</v>
      </c>
      <c r="C1627">
        <v>408</v>
      </c>
      <c r="D1627" t="s">
        <v>29</v>
      </c>
      <c r="E1627" t="s">
        <v>29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 x14ac:dyDescent="0.25">
      <c r="A1628" t="s">
        <v>40</v>
      </c>
      <c r="B1628">
        <v>80</v>
      </c>
      <c r="C1628">
        <v>510</v>
      </c>
      <c r="D1628" t="s">
        <v>30</v>
      </c>
      <c r="E1628" t="s">
        <v>30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 x14ac:dyDescent="0.25">
      <c r="A1629" t="s">
        <v>79</v>
      </c>
      <c r="B1629">
        <v>56</v>
      </c>
      <c r="C1629">
        <v>415</v>
      </c>
      <c r="D1629" t="s">
        <v>29</v>
      </c>
      <c r="E1629" t="s">
        <v>29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 x14ac:dyDescent="0.25">
      <c r="A1630" t="s">
        <v>42</v>
      </c>
      <c r="B1630">
        <v>120</v>
      </c>
      <c r="C1630">
        <v>415</v>
      </c>
      <c r="D1630" t="s">
        <v>29</v>
      </c>
      <c r="E1630" t="s">
        <v>29</v>
      </c>
      <c r="F1630">
        <v>0</v>
      </c>
      <c r="G1630">
        <v>149.19999999999999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 x14ac:dyDescent="0.25">
      <c r="A1631" t="s">
        <v>63</v>
      </c>
      <c r="B1631">
        <v>103</v>
      </c>
      <c r="C1631">
        <v>510</v>
      </c>
      <c r="D1631" t="s">
        <v>29</v>
      </c>
      <c r="E1631" t="s">
        <v>29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 x14ac:dyDescent="0.25">
      <c r="A1632" t="s">
        <v>31</v>
      </c>
      <c r="B1632">
        <v>164</v>
      </c>
      <c r="C1632">
        <v>510</v>
      </c>
      <c r="D1632" t="s">
        <v>29</v>
      </c>
      <c r="E1632" t="s">
        <v>30</v>
      </c>
      <c r="F1632">
        <v>27</v>
      </c>
      <c r="G1632">
        <v>159.69999999999999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 x14ac:dyDescent="0.25">
      <c r="A1633" t="s">
        <v>31</v>
      </c>
      <c r="B1633">
        <v>116</v>
      </c>
      <c r="C1633">
        <v>415</v>
      </c>
      <c r="D1633" t="s">
        <v>29</v>
      </c>
      <c r="E1633" t="s">
        <v>30</v>
      </c>
      <c r="F1633">
        <v>27</v>
      </c>
      <c r="G1633">
        <v>204.7</v>
      </c>
      <c r="H1633">
        <v>118</v>
      </c>
      <c r="I1633">
        <v>34.799999999999997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 x14ac:dyDescent="0.25">
      <c r="A1634" t="s">
        <v>40</v>
      </c>
      <c r="B1634">
        <v>121</v>
      </c>
      <c r="C1634">
        <v>408</v>
      </c>
      <c r="D1634" t="s">
        <v>29</v>
      </c>
      <c r="E1634" t="s">
        <v>29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2.0299999999999998</v>
      </c>
      <c r="S1634">
        <v>1</v>
      </c>
      <c r="T1634" t="b">
        <v>0</v>
      </c>
    </row>
    <row r="1635" spans="1:20" x14ac:dyDescent="0.25">
      <c r="A1635" t="s">
        <v>68</v>
      </c>
      <c r="B1635">
        <v>183</v>
      </c>
      <c r="C1635">
        <v>415</v>
      </c>
      <c r="D1635" t="s">
        <v>29</v>
      </c>
      <c r="E1635" t="s">
        <v>29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18.170000000000002</v>
      </c>
      <c r="M1635">
        <v>214.3</v>
      </c>
      <c r="N1635">
        <v>112</v>
      </c>
      <c r="O1635">
        <v>9.64</v>
      </c>
      <c r="P1635">
        <v>9.6999999999999993</v>
      </c>
      <c r="Q1635">
        <v>6</v>
      </c>
      <c r="R1635">
        <v>2.62</v>
      </c>
      <c r="S1635">
        <v>2</v>
      </c>
      <c r="T1635" t="b">
        <v>0</v>
      </c>
    </row>
    <row r="1636" spans="1:20" x14ac:dyDescent="0.25">
      <c r="A1636" t="s">
        <v>61</v>
      </c>
      <c r="B1636">
        <v>104</v>
      </c>
      <c r="C1636">
        <v>408</v>
      </c>
      <c r="D1636" t="s">
        <v>29</v>
      </c>
      <c r="E1636" t="s">
        <v>29</v>
      </c>
      <c r="F1636">
        <v>0</v>
      </c>
      <c r="G1636">
        <v>263.39999999999998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 x14ac:dyDescent="0.25">
      <c r="A1637" t="s">
        <v>51</v>
      </c>
      <c r="B1637">
        <v>90</v>
      </c>
      <c r="C1637">
        <v>408</v>
      </c>
      <c r="D1637" t="s">
        <v>29</v>
      </c>
      <c r="E1637" t="s">
        <v>29</v>
      </c>
      <c r="F1637">
        <v>0</v>
      </c>
      <c r="G1637">
        <v>140.19999999999999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 x14ac:dyDescent="0.25">
      <c r="A1638" t="s">
        <v>52</v>
      </c>
      <c r="B1638">
        <v>82</v>
      </c>
      <c r="C1638">
        <v>415</v>
      </c>
      <c r="D1638" t="s">
        <v>29</v>
      </c>
      <c r="E1638" t="s">
        <v>29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 x14ac:dyDescent="0.25">
      <c r="A1639" t="s">
        <v>70</v>
      </c>
      <c r="B1639">
        <v>9</v>
      </c>
      <c r="C1639">
        <v>415</v>
      </c>
      <c r="D1639" t="s">
        <v>29</v>
      </c>
      <c r="E1639" t="s">
        <v>30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 x14ac:dyDescent="0.25">
      <c r="A1640" t="s">
        <v>80</v>
      </c>
      <c r="B1640">
        <v>97</v>
      </c>
      <c r="C1640">
        <v>415</v>
      </c>
      <c r="D1640" t="s">
        <v>29</v>
      </c>
      <c r="E1640" t="s">
        <v>29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 x14ac:dyDescent="0.25">
      <c r="A1641" t="s">
        <v>74</v>
      </c>
      <c r="B1641">
        <v>127</v>
      </c>
      <c r="C1641">
        <v>510</v>
      </c>
      <c r="D1641" t="s">
        <v>29</v>
      </c>
      <c r="E1641" t="s">
        <v>30</v>
      </c>
      <c r="F1641">
        <v>25</v>
      </c>
      <c r="G1641">
        <v>203.8</v>
      </c>
      <c r="H1641">
        <v>118</v>
      </c>
      <c r="I1641">
        <v>34.65</v>
      </c>
      <c r="J1641">
        <v>267.10000000000002</v>
      </c>
      <c r="K1641">
        <v>48</v>
      </c>
      <c r="L1641">
        <v>22.7</v>
      </c>
      <c r="M1641">
        <v>225.1</v>
      </c>
      <c r="N1641">
        <v>105</v>
      </c>
      <c r="O1641">
        <v>10.130000000000001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 x14ac:dyDescent="0.25">
      <c r="A1642" t="s">
        <v>63</v>
      </c>
      <c r="B1642">
        <v>125</v>
      </c>
      <c r="C1642">
        <v>510</v>
      </c>
      <c r="D1642" t="s">
        <v>29</v>
      </c>
      <c r="E1642" t="s">
        <v>30</v>
      </c>
      <c r="F1642">
        <v>34</v>
      </c>
      <c r="G1642">
        <v>268.39999999999998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 x14ac:dyDescent="0.25">
      <c r="A1643" t="s">
        <v>72</v>
      </c>
      <c r="B1643">
        <v>140</v>
      </c>
      <c r="C1643">
        <v>415</v>
      </c>
      <c r="D1643" t="s">
        <v>29</v>
      </c>
      <c r="E1643" t="s">
        <v>29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 x14ac:dyDescent="0.25">
      <c r="A1644" t="s">
        <v>55</v>
      </c>
      <c r="B1644">
        <v>90</v>
      </c>
      <c r="C1644">
        <v>415</v>
      </c>
      <c r="D1644" t="s">
        <v>29</v>
      </c>
      <c r="E1644" t="s">
        <v>29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 x14ac:dyDescent="0.25">
      <c r="A1645" t="s">
        <v>43</v>
      </c>
      <c r="B1645">
        <v>67</v>
      </c>
      <c r="C1645">
        <v>415</v>
      </c>
      <c r="D1645" t="s">
        <v>29</v>
      </c>
      <c r="E1645" t="s">
        <v>29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17.760000000000002</v>
      </c>
      <c r="M1645">
        <v>232.4</v>
      </c>
      <c r="N1645">
        <v>82</v>
      </c>
      <c r="O1645">
        <v>10.46</v>
      </c>
      <c r="P1645">
        <v>9.1999999999999993</v>
      </c>
      <c r="Q1645">
        <v>3</v>
      </c>
      <c r="R1645">
        <v>2.48</v>
      </c>
      <c r="S1645">
        <v>2</v>
      </c>
      <c r="T1645" t="b">
        <v>0</v>
      </c>
    </row>
    <row r="1646" spans="1:20" x14ac:dyDescent="0.25">
      <c r="A1646" t="s">
        <v>32</v>
      </c>
      <c r="B1646">
        <v>113</v>
      </c>
      <c r="C1646">
        <v>415</v>
      </c>
      <c r="D1646" t="s">
        <v>29</v>
      </c>
      <c r="E1646" t="s">
        <v>29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 x14ac:dyDescent="0.25">
      <c r="A1647" t="s">
        <v>76</v>
      </c>
      <c r="B1647">
        <v>121</v>
      </c>
      <c r="C1647">
        <v>510</v>
      </c>
      <c r="D1647" t="s">
        <v>29</v>
      </c>
      <c r="E1647" t="s">
        <v>30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9.8800000000000008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 x14ac:dyDescent="0.25">
      <c r="A1648" t="s">
        <v>69</v>
      </c>
      <c r="B1648">
        <v>93</v>
      </c>
      <c r="C1648">
        <v>408</v>
      </c>
      <c r="D1648" t="s">
        <v>29</v>
      </c>
      <c r="E1648" t="s">
        <v>29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 x14ac:dyDescent="0.25">
      <c r="A1649" t="s">
        <v>69</v>
      </c>
      <c r="B1649">
        <v>121</v>
      </c>
      <c r="C1649">
        <v>408</v>
      </c>
      <c r="D1649" t="s">
        <v>29</v>
      </c>
      <c r="E1649" t="s">
        <v>29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 x14ac:dyDescent="0.25">
      <c r="A1650" t="s">
        <v>58</v>
      </c>
      <c r="B1650">
        <v>53</v>
      </c>
      <c r="C1650">
        <v>408</v>
      </c>
      <c r="D1650" t="s">
        <v>29</v>
      </c>
      <c r="E1650" t="s">
        <v>29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9.8000000000000007</v>
      </c>
      <c r="Q1650">
        <v>2</v>
      </c>
      <c r="R1650">
        <v>2.65</v>
      </c>
      <c r="S1650">
        <v>0</v>
      </c>
      <c r="T1650" t="b">
        <v>1</v>
      </c>
    </row>
    <row r="1651" spans="1:20" x14ac:dyDescent="0.25">
      <c r="A1651" t="s">
        <v>38</v>
      </c>
      <c r="B1651">
        <v>75</v>
      </c>
      <c r="C1651">
        <v>415</v>
      </c>
      <c r="D1651" t="s">
        <v>29</v>
      </c>
      <c r="E1651" t="s">
        <v>29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 x14ac:dyDescent="0.25">
      <c r="A1652" t="s">
        <v>54</v>
      </c>
      <c r="B1652">
        <v>132</v>
      </c>
      <c r="C1652">
        <v>510</v>
      </c>
      <c r="D1652" t="s">
        <v>29</v>
      </c>
      <c r="E1652" t="s">
        <v>29</v>
      </c>
      <c r="F1652">
        <v>0</v>
      </c>
      <c r="G1652">
        <v>181.1</v>
      </c>
      <c r="H1652">
        <v>121</v>
      </c>
      <c r="I1652">
        <v>30.79</v>
      </c>
      <c r="J1652">
        <v>314.39999999999998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1.1299999999999999</v>
      </c>
      <c r="S1652">
        <v>2</v>
      </c>
      <c r="T1652" t="b">
        <v>0</v>
      </c>
    </row>
    <row r="1653" spans="1:20" x14ac:dyDescent="0.25">
      <c r="A1653" t="s">
        <v>57</v>
      </c>
      <c r="B1653">
        <v>162</v>
      </c>
      <c r="C1653">
        <v>408</v>
      </c>
      <c r="D1653" t="s">
        <v>29</v>
      </c>
      <c r="E1653" t="s">
        <v>29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 x14ac:dyDescent="0.25">
      <c r="A1654" t="s">
        <v>60</v>
      </c>
      <c r="B1654">
        <v>140</v>
      </c>
      <c r="C1654">
        <v>415</v>
      </c>
      <c r="D1654" t="s">
        <v>29</v>
      </c>
      <c r="E1654" t="s">
        <v>29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20.440000000000001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 x14ac:dyDescent="0.25">
      <c r="A1655" t="s">
        <v>74</v>
      </c>
      <c r="B1655">
        <v>91</v>
      </c>
      <c r="C1655">
        <v>408</v>
      </c>
      <c r="D1655" t="s">
        <v>29</v>
      </c>
      <c r="E1655" t="s">
        <v>29</v>
      </c>
      <c r="F1655">
        <v>0</v>
      </c>
      <c r="G1655">
        <v>134.69999999999999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8.8000000000000007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 x14ac:dyDescent="0.25">
      <c r="A1656" t="s">
        <v>41</v>
      </c>
      <c r="B1656">
        <v>73</v>
      </c>
      <c r="C1656">
        <v>510</v>
      </c>
      <c r="D1656" t="s">
        <v>29</v>
      </c>
      <c r="E1656" t="s">
        <v>30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8.9600000000000009</v>
      </c>
      <c r="P1656">
        <v>8.8000000000000007</v>
      </c>
      <c r="Q1656">
        <v>1</v>
      </c>
      <c r="R1656">
        <v>2.38</v>
      </c>
      <c r="S1656">
        <v>2</v>
      </c>
      <c r="T1656" t="b">
        <v>0</v>
      </c>
    </row>
    <row r="1657" spans="1:20" x14ac:dyDescent="0.25">
      <c r="A1657" t="s">
        <v>51</v>
      </c>
      <c r="B1657">
        <v>95</v>
      </c>
      <c r="C1657">
        <v>408</v>
      </c>
      <c r="D1657" t="s">
        <v>30</v>
      </c>
      <c r="E1657" t="s">
        <v>29</v>
      </c>
      <c r="F1657">
        <v>0</v>
      </c>
      <c r="G1657">
        <v>228.9</v>
      </c>
      <c r="H1657">
        <v>134</v>
      </c>
      <c r="I1657">
        <v>38.909999999999997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 x14ac:dyDescent="0.25">
      <c r="A1658" t="s">
        <v>66</v>
      </c>
      <c r="B1658">
        <v>145</v>
      </c>
      <c r="C1658">
        <v>408</v>
      </c>
      <c r="D1658" t="s">
        <v>29</v>
      </c>
      <c r="E1658" t="s">
        <v>29</v>
      </c>
      <c r="F1658">
        <v>0</v>
      </c>
      <c r="G1658">
        <v>241.7</v>
      </c>
      <c r="H1658">
        <v>137</v>
      </c>
      <c r="I1658">
        <v>41.09</v>
      </c>
      <c r="J1658">
        <v>135.80000000000001</v>
      </c>
      <c r="K1658">
        <v>100</v>
      </c>
      <c r="L1658">
        <v>11.54</v>
      </c>
      <c r="M1658">
        <v>277.60000000000002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 x14ac:dyDescent="0.25">
      <c r="A1659" t="s">
        <v>47</v>
      </c>
      <c r="B1659">
        <v>100</v>
      </c>
      <c r="C1659">
        <v>415</v>
      </c>
      <c r="D1659" t="s">
        <v>29</v>
      </c>
      <c r="E1659" t="s">
        <v>29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1.1599999999999999</v>
      </c>
      <c r="S1659">
        <v>1</v>
      </c>
      <c r="T1659" t="b">
        <v>0</v>
      </c>
    </row>
    <row r="1660" spans="1:20" x14ac:dyDescent="0.25">
      <c r="A1660" t="s">
        <v>66</v>
      </c>
      <c r="B1660">
        <v>122</v>
      </c>
      <c r="C1660">
        <v>415</v>
      </c>
      <c r="D1660" t="s">
        <v>29</v>
      </c>
      <c r="E1660" t="s">
        <v>29</v>
      </c>
      <c r="F1660">
        <v>0</v>
      </c>
      <c r="G1660">
        <v>234.1</v>
      </c>
      <c r="H1660">
        <v>101</v>
      </c>
      <c r="I1660">
        <v>39.799999999999997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 x14ac:dyDescent="0.25">
      <c r="A1661" t="s">
        <v>36</v>
      </c>
      <c r="B1661">
        <v>109</v>
      </c>
      <c r="C1661">
        <v>415</v>
      </c>
      <c r="D1661" t="s">
        <v>29</v>
      </c>
      <c r="E1661" t="s">
        <v>29</v>
      </c>
      <c r="F1661">
        <v>0</v>
      </c>
      <c r="G1661">
        <v>200.1</v>
      </c>
      <c r="H1661">
        <v>72</v>
      </c>
      <c r="I1661">
        <v>34.020000000000003</v>
      </c>
      <c r="J1661">
        <v>300.89999999999998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 x14ac:dyDescent="0.25">
      <c r="A1662" t="s">
        <v>34</v>
      </c>
      <c r="B1662">
        <v>82</v>
      </c>
      <c r="C1662">
        <v>408</v>
      </c>
      <c r="D1662" t="s">
        <v>29</v>
      </c>
      <c r="E1662" t="s">
        <v>29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287.60000000000002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 x14ac:dyDescent="0.25">
      <c r="A1663" t="s">
        <v>77</v>
      </c>
      <c r="B1663">
        <v>65</v>
      </c>
      <c r="C1663">
        <v>415</v>
      </c>
      <c r="D1663" t="s">
        <v>29</v>
      </c>
      <c r="E1663" t="s">
        <v>30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10.029999999999999</v>
      </c>
      <c r="P1663">
        <v>9.8000000000000007</v>
      </c>
      <c r="Q1663">
        <v>4</v>
      </c>
      <c r="R1663">
        <v>2.65</v>
      </c>
      <c r="S1663">
        <v>0</v>
      </c>
      <c r="T1663" t="b">
        <v>0</v>
      </c>
    </row>
    <row r="1664" spans="1:20" x14ac:dyDescent="0.25">
      <c r="A1664" t="s">
        <v>54</v>
      </c>
      <c r="B1664">
        <v>52</v>
      </c>
      <c r="C1664">
        <v>510</v>
      </c>
      <c r="D1664" t="s">
        <v>29</v>
      </c>
      <c r="E1664" t="s">
        <v>29</v>
      </c>
      <c r="F1664">
        <v>0</v>
      </c>
      <c r="G1664">
        <v>148.30000000000001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8.3000000000000007</v>
      </c>
      <c r="Q1664">
        <v>6</v>
      </c>
      <c r="R1664">
        <v>2.2400000000000002</v>
      </c>
      <c r="S1664">
        <v>3</v>
      </c>
      <c r="T1664" t="b">
        <v>0</v>
      </c>
    </row>
    <row r="1665" spans="1:20" x14ac:dyDescent="0.25">
      <c r="A1665" t="s">
        <v>73</v>
      </c>
      <c r="B1665">
        <v>136</v>
      </c>
      <c r="C1665">
        <v>415</v>
      </c>
      <c r="D1665" t="s">
        <v>29</v>
      </c>
      <c r="E1665" t="s">
        <v>30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8.8000000000000007</v>
      </c>
      <c r="Q1665">
        <v>5</v>
      </c>
      <c r="R1665">
        <v>2.38</v>
      </c>
      <c r="S1665">
        <v>2</v>
      </c>
      <c r="T1665" t="b">
        <v>0</v>
      </c>
    </row>
    <row r="1666" spans="1:20" x14ac:dyDescent="0.25">
      <c r="A1666" t="s">
        <v>39</v>
      </c>
      <c r="B1666">
        <v>75</v>
      </c>
      <c r="C1666">
        <v>415</v>
      </c>
      <c r="D1666" t="s">
        <v>29</v>
      </c>
      <c r="E1666" t="s">
        <v>29</v>
      </c>
      <c r="F1666">
        <v>0</v>
      </c>
      <c r="G1666">
        <v>138.5</v>
      </c>
      <c r="H1666">
        <v>110</v>
      </c>
      <c r="I1666">
        <v>23.55</v>
      </c>
      <c r="J1666">
        <v>153.19999999999999</v>
      </c>
      <c r="K1666">
        <v>86</v>
      </c>
      <c r="L1666">
        <v>13.02</v>
      </c>
      <c r="M1666">
        <v>215.6</v>
      </c>
      <c r="N1666">
        <v>103</v>
      </c>
      <c r="O1666">
        <v>9.6999999999999993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 x14ac:dyDescent="0.25">
      <c r="A1667" t="s">
        <v>49</v>
      </c>
      <c r="B1667">
        <v>146</v>
      </c>
      <c r="C1667">
        <v>408</v>
      </c>
      <c r="D1667" t="s">
        <v>29</v>
      </c>
      <c r="E1667" t="s">
        <v>29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 x14ac:dyDescent="0.25">
      <c r="A1668" t="s">
        <v>48</v>
      </c>
      <c r="B1668">
        <v>105</v>
      </c>
      <c r="C1668">
        <v>408</v>
      </c>
      <c r="D1668" t="s">
        <v>29</v>
      </c>
      <c r="E1668" t="s">
        <v>29</v>
      </c>
      <c r="F1668">
        <v>0</v>
      </c>
      <c r="G1668">
        <v>162.30000000000001</v>
      </c>
      <c r="H1668">
        <v>99</v>
      </c>
      <c r="I1668">
        <v>27.59</v>
      </c>
      <c r="J1668">
        <v>212.5</v>
      </c>
      <c r="K1668">
        <v>95</v>
      </c>
      <c r="L1668">
        <v>18.059999999999999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 x14ac:dyDescent="0.25">
      <c r="A1669" t="s">
        <v>79</v>
      </c>
      <c r="B1669">
        <v>48</v>
      </c>
      <c r="C1669">
        <v>415</v>
      </c>
      <c r="D1669" t="s">
        <v>29</v>
      </c>
      <c r="E1669" t="s">
        <v>29</v>
      </c>
      <c r="F1669">
        <v>0</v>
      </c>
      <c r="G1669">
        <v>210.8</v>
      </c>
      <c r="H1669">
        <v>84</v>
      </c>
      <c r="I1669">
        <v>35.840000000000003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16.399999999999999</v>
      </c>
      <c r="Q1669">
        <v>3</v>
      </c>
      <c r="R1669">
        <v>4.43</v>
      </c>
      <c r="S1669">
        <v>2</v>
      </c>
      <c r="T1669" t="b">
        <v>0</v>
      </c>
    </row>
    <row r="1670" spans="1:20" x14ac:dyDescent="0.25">
      <c r="A1670" t="s">
        <v>80</v>
      </c>
      <c r="B1670">
        <v>45</v>
      </c>
      <c r="C1670">
        <v>415</v>
      </c>
      <c r="D1670" t="s">
        <v>29</v>
      </c>
      <c r="E1670" t="s">
        <v>29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 x14ac:dyDescent="0.25">
      <c r="A1671" t="s">
        <v>64</v>
      </c>
      <c r="B1671">
        <v>106</v>
      </c>
      <c r="C1671">
        <v>415</v>
      </c>
      <c r="D1671" t="s">
        <v>29</v>
      </c>
      <c r="E1671" t="s">
        <v>30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 x14ac:dyDescent="0.25">
      <c r="A1672" t="s">
        <v>80</v>
      </c>
      <c r="B1672">
        <v>33</v>
      </c>
      <c r="C1672">
        <v>510</v>
      </c>
      <c r="D1672" t="s">
        <v>29</v>
      </c>
      <c r="E1672" t="s">
        <v>29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149.19999999999999</v>
      </c>
      <c r="N1672">
        <v>82</v>
      </c>
      <c r="O1672">
        <v>6.71</v>
      </c>
      <c r="P1672">
        <v>7.5</v>
      </c>
      <c r="Q1672">
        <v>2</v>
      </c>
      <c r="R1672">
        <v>2.0299999999999998</v>
      </c>
      <c r="S1672">
        <v>2</v>
      </c>
      <c r="T1672" t="b">
        <v>0</v>
      </c>
    </row>
    <row r="1673" spans="1:20" x14ac:dyDescent="0.25">
      <c r="A1673" t="s">
        <v>65</v>
      </c>
      <c r="B1673">
        <v>106</v>
      </c>
      <c r="C1673">
        <v>408</v>
      </c>
      <c r="D1673" t="s">
        <v>29</v>
      </c>
      <c r="E1673" t="s">
        <v>29</v>
      </c>
      <c r="F1673">
        <v>0</v>
      </c>
      <c r="G1673">
        <v>193.6</v>
      </c>
      <c r="H1673">
        <v>66</v>
      </c>
      <c r="I1673">
        <v>32.909999999999997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 x14ac:dyDescent="0.25">
      <c r="A1674" t="s">
        <v>68</v>
      </c>
      <c r="B1674">
        <v>141</v>
      </c>
      <c r="C1674">
        <v>415</v>
      </c>
      <c r="D1674" t="s">
        <v>29</v>
      </c>
      <c r="E1674" t="s">
        <v>29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 x14ac:dyDescent="0.25">
      <c r="A1675" t="s">
        <v>28</v>
      </c>
      <c r="B1675">
        <v>94</v>
      </c>
      <c r="C1675">
        <v>510</v>
      </c>
      <c r="D1675" t="s">
        <v>29</v>
      </c>
      <c r="E1675" t="s">
        <v>30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9.6300000000000008</v>
      </c>
      <c r="M1675">
        <v>118</v>
      </c>
      <c r="N1675">
        <v>71</v>
      </c>
      <c r="O1675">
        <v>5.31</v>
      </c>
      <c r="P1675">
        <v>16.100000000000001</v>
      </c>
      <c r="Q1675">
        <v>4</v>
      </c>
      <c r="R1675">
        <v>4.3499999999999996</v>
      </c>
      <c r="S1675">
        <v>0</v>
      </c>
      <c r="T1675" t="b">
        <v>0</v>
      </c>
    </row>
    <row r="1676" spans="1:20" x14ac:dyDescent="0.25">
      <c r="A1676" t="s">
        <v>46</v>
      </c>
      <c r="B1676">
        <v>65</v>
      </c>
      <c r="C1676">
        <v>510</v>
      </c>
      <c r="D1676" t="s">
        <v>29</v>
      </c>
      <c r="E1676" t="s">
        <v>29</v>
      </c>
      <c r="F1676">
        <v>0</v>
      </c>
      <c r="G1676">
        <v>158.80000000000001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9.8000000000000007</v>
      </c>
      <c r="Q1676">
        <v>4</v>
      </c>
      <c r="R1676">
        <v>2.65</v>
      </c>
      <c r="S1676">
        <v>2</v>
      </c>
      <c r="T1676" t="b">
        <v>0</v>
      </c>
    </row>
    <row r="1677" spans="1:20" x14ac:dyDescent="0.25">
      <c r="A1677" t="s">
        <v>36</v>
      </c>
      <c r="B1677">
        <v>85</v>
      </c>
      <c r="C1677">
        <v>415</v>
      </c>
      <c r="D1677" t="s">
        <v>29</v>
      </c>
      <c r="E1677" t="s">
        <v>29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8.3000000000000007</v>
      </c>
      <c r="P1677">
        <v>9.8000000000000007</v>
      </c>
      <c r="Q1677">
        <v>4</v>
      </c>
      <c r="R1677">
        <v>2.65</v>
      </c>
      <c r="S1677">
        <v>1</v>
      </c>
      <c r="T1677" t="b">
        <v>0</v>
      </c>
    </row>
    <row r="1678" spans="1:20" x14ac:dyDescent="0.25">
      <c r="A1678" t="s">
        <v>35</v>
      </c>
      <c r="B1678">
        <v>71</v>
      </c>
      <c r="C1678">
        <v>510</v>
      </c>
      <c r="D1678" t="s">
        <v>29</v>
      </c>
      <c r="E1678" t="s">
        <v>29</v>
      </c>
      <c r="F1678">
        <v>0</v>
      </c>
      <c r="G1678">
        <v>290.39999999999998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 x14ac:dyDescent="0.25">
      <c r="A1679" t="s">
        <v>70</v>
      </c>
      <c r="B1679">
        <v>112</v>
      </c>
      <c r="C1679">
        <v>408</v>
      </c>
      <c r="D1679" t="s">
        <v>29</v>
      </c>
      <c r="E1679" t="s">
        <v>30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132.80000000000001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 x14ac:dyDescent="0.25">
      <c r="A1680" t="s">
        <v>54</v>
      </c>
      <c r="B1680">
        <v>110</v>
      </c>
      <c r="C1680">
        <v>415</v>
      </c>
      <c r="D1680" t="s">
        <v>29</v>
      </c>
      <c r="E1680" t="s">
        <v>29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 x14ac:dyDescent="0.25">
      <c r="A1681" t="s">
        <v>57</v>
      </c>
      <c r="B1681">
        <v>111</v>
      </c>
      <c r="C1681">
        <v>415</v>
      </c>
      <c r="D1681" t="s">
        <v>29</v>
      </c>
      <c r="E1681" t="s">
        <v>29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 x14ac:dyDescent="0.25">
      <c r="A1682" t="s">
        <v>51</v>
      </c>
      <c r="B1682">
        <v>74</v>
      </c>
      <c r="C1682">
        <v>408</v>
      </c>
      <c r="D1682" t="s">
        <v>29</v>
      </c>
      <c r="E1682" t="s">
        <v>29</v>
      </c>
      <c r="F1682">
        <v>0</v>
      </c>
      <c r="G1682">
        <v>298.10000000000002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9.6999999999999993</v>
      </c>
      <c r="Q1682">
        <v>4</v>
      </c>
      <c r="R1682">
        <v>2.62</v>
      </c>
      <c r="S1682">
        <v>2</v>
      </c>
      <c r="T1682" t="b">
        <v>1</v>
      </c>
    </row>
    <row r="1683" spans="1:20" x14ac:dyDescent="0.25">
      <c r="A1683" t="s">
        <v>76</v>
      </c>
      <c r="B1683">
        <v>105</v>
      </c>
      <c r="C1683">
        <v>510</v>
      </c>
      <c r="D1683" t="s">
        <v>29</v>
      </c>
      <c r="E1683" t="s">
        <v>29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 x14ac:dyDescent="0.25">
      <c r="A1684" t="s">
        <v>70</v>
      </c>
      <c r="B1684">
        <v>40</v>
      </c>
      <c r="C1684">
        <v>408</v>
      </c>
      <c r="D1684" t="s">
        <v>29</v>
      </c>
      <c r="E1684" t="s">
        <v>29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 x14ac:dyDescent="0.25">
      <c r="A1685" t="s">
        <v>53</v>
      </c>
      <c r="B1685">
        <v>128</v>
      </c>
      <c r="C1685">
        <v>408</v>
      </c>
      <c r="D1685" t="s">
        <v>30</v>
      </c>
      <c r="E1685" t="s">
        <v>30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 x14ac:dyDescent="0.25">
      <c r="A1686" t="s">
        <v>66</v>
      </c>
      <c r="B1686">
        <v>123</v>
      </c>
      <c r="C1686">
        <v>408</v>
      </c>
      <c r="D1686" t="s">
        <v>29</v>
      </c>
      <c r="E1686" t="s">
        <v>29</v>
      </c>
      <c r="F1686">
        <v>0</v>
      </c>
      <c r="G1686">
        <v>236.2</v>
      </c>
      <c r="H1686">
        <v>135</v>
      </c>
      <c r="I1686">
        <v>40.15</v>
      </c>
      <c r="J1686">
        <v>273.89999999999998</v>
      </c>
      <c r="K1686">
        <v>88</v>
      </c>
      <c r="L1686">
        <v>23.28</v>
      </c>
      <c r="M1686">
        <v>227</v>
      </c>
      <c r="N1686">
        <v>77</v>
      </c>
      <c r="O1686">
        <v>10.220000000000001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 x14ac:dyDescent="0.25">
      <c r="A1687" t="s">
        <v>74</v>
      </c>
      <c r="B1687">
        <v>122</v>
      </c>
      <c r="C1687">
        <v>510</v>
      </c>
      <c r="D1687" t="s">
        <v>29</v>
      </c>
      <c r="E1687" t="s">
        <v>29</v>
      </c>
      <c r="F1687">
        <v>0</v>
      </c>
      <c r="G1687">
        <v>144.19999999999999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 x14ac:dyDescent="0.25">
      <c r="A1688" t="s">
        <v>41</v>
      </c>
      <c r="B1688">
        <v>114</v>
      </c>
      <c r="C1688">
        <v>408</v>
      </c>
      <c r="D1688" t="s">
        <v>29</v>
      </c>
      <c r="E1688" t="s">
        <v>30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 x14ac:dyDescent="0.25">
      <c r="A1689" t="s">
        <v>80</v>
      </c>
      <c r="B1689">
        <v>102</v>
      </c>
      <c r="C1689">
        <v>415</v>
      </c>
      <c r="D1689" t="s">
        <v>29</v>
      </c>
      <c r="E1689" t="s">
        <v>30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8.4700000000000006</v>
      </c>
      <c r="P1689">
        <v>10.199999999999999</v>
      </c>
      <c r="Q1689">
        <v>6</v>
      </c>
      <c r="R1689">
        <v>2.75</v>
      </c>
      <c r="S1689">
        <v>2</v>
      </c>
      <c r="T1689" t="b">
        <v>0</v>
      </c>
    </row>
    <row r="1690" spans="1:20" x14ac:dyDescent="0.25">
      <c r="A1690" t="s">
        <v>64</v>
      </c>
      <c r="B1690">
        <v>126</v>
      </c>
      <c r="C1690">
        <v>415</v>
      </c>
      <c r="D1690" t="s">
        <v>29</v>
      </c>
      <c r="E1690" t="s">
        <v>29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 x14ac:dyDescent="0.25">
      <c r="A1691" t="s">
        <v>52</v>
      </c>
      <c r="B1691">
        <v>150</v>
      </c>
      <c r="C1691">
        <v>415</v>
      </c>
      <c r="D1691" t="s">
        <v>29</v>
      </c>
      <c r="E1691" t="s">
        <v>29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 x14ac:dyDescent="0.25">
      <c r="A1692" t="s">
        <v>32</v>
      </c>
      <c r="B1692">
        <v>60</v>
      </c>
      <c r="C1692">
        <v>408</v>
      </c>
      <c r="D1692" t="s">
        <v>29</v>
      </c>
      <c r="E1692" t="s">
        <v>29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 x14ac:dyDescent="0.25">
      <c r="A1693" t="s">
        <v>62</v>
      </c>
      <c r="B1693">
        <v>138</v>
      </c>
      <c r="C1693">
        <v>510</v>
      </c>
      <c r="D1693" t="s">
        <v>30</v>
      </c>
      <c r="E1693" t="s">
        <v>29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4.0999999999999996</v>
      </c>
      <c r="S1693">
        <v>0</v>
      </c>
      <c r="T1693" t="b">
        <v>1</v>
      </c>
    </row>
    <row r="1694" spans="1:20" x14ac:dyDescent="0.25">
      <c r="A1694" t="s">
        <v>55</v>
      </c>
      <c r="B1694">
        <v>29</v>
      </c>
      <c r="C1694">
        <v>510</v>
      </c>
      <c r="D1694" t="s">
        <v>29</v>
      </c>
      <c r="E1694" t="s">
        <v>29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 x14ac:dyDescent="0.25">
      <c r="A1695" t="s">
        <v>49</v>
      </c>
      <c r="B1695">
        <v>111</v>
      </c>
      <c r="C1695">
        <v>415</v>
      </c>
      <c r="D1695" t="s">
        <v>29</v>
      </c>
      <c r="E1695" t="s">
        <v>29</v>
      </c>
      <c r="F1695">
        <v>0</v>
      </c>
      <c r="G1695">
        <v>222.2</v>
      </c>
      <c r="H1695">
        <v>96</v>
      </c>
      <c r="I1695">
        <v>37.770000000000003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 x14ac:dyDescent="0.25">
      <c r="A1696" t="s">
        <v>44</v>
      </c>
      <c r="B1696">
        <v>37</v>
      </c>
      <c r="C1696">
        <v>510</v>
      </c>
      <c r="D1696" t="s">
        <v>30</v>
      </c>
      <c r="E1696" t="s">
        <v>29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9.8000000000000007</v>
      </c>
      <c r="Q1696">
        <v>1</v>
      </c>
      <c r="R1696">
        <v>2.65</v>
      </c>
      <c r="S1696">
        <v>0</v>
      </c>
      <c r="T1696" t="b">
        <v>1</v>
      </c>
    </row>
    <row r="1697" spans="1:20" x14ac:dyDescent="0.25">
      <c r="A1697" t="s">
        <v>61</v>
      </c>
      <c r="B1697">
        <v>81</v>
      </c>
      <c r="C1697">
        <v>510</v>
      </c>
      <c r="D1697" t="s">
        <v>29</v>
      </c>
      <c r="E1697" t="s">
        <v>29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 x14ac:dyDescent="0.25">
      <c r="A1698" t="s">
        <v>65</v>
      </c>
      <c r="B1698">
        <v>46</v>
      </c>
      <c r="C1698">
        <v>510</v>
      </c>
      <c r="D1698" t="s">
        <v>29</v>
      </c>
      <c r="E1698" t="s">
        <v>29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 x14ac:dyDescent="0.25">
      <c r="A1699" t="s">
        <v>31</v>
      </c>
      <c r="B1699">
        <v>125</v>
      </c>
      <c r="C1699">
        <v>408</v>
      </c>
      <c r="D1699" t="s">
        <v>29</v>
      </c>
      <c r="E1699" t="s">
        <v>29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 x14ac:dyDescent="0.25">
      <c r="A1700" t="s">
        <v>28</v>
      </c>
      <c r="B1700">
        <v>43</v>
      </c>
      <c r="C1700">
        <v>415</v>
      </c>
      <c r="D1700" t="s">
        <v>29</v>
      </c>
      <c r="E1700" t="s">
        <v>29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 x14ac:dyDescent="0.25">
      <c r="A1701" t="s">
        <v>60</v>
      </c>
      <c r="B1701">
        <v>94</v>
      </c>
      <c r="C1701">
        <v>510</v>
      </c>
      <c r="D1701" t="s">
        <v>29</v>
      </c>
      <c r="E1701" t="s">
        <v>29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262.89999999999998</v>
      </c>
      <c r="N1701">
        <v>105</v>
      </c>
      <c r="O1701">
        <v>11.83</v>
      </c>
      <c r="P1701">
        <v>9.6999999999999993</v>
      </c>
      <c r="Q1701">
        <v>6</v>
      </c>
      <c r="R1701">
        <v>2.62</v>
      </c>
      <c r="S1701">
        <v>1</v>
      </c>
      <c r="T1701" t="b">
        <v>0</v>
      </c>
    </row>
    <row r="1702" spans="1:20" x14ac:dyDescent="0.25">
      <c r="A1702" t="s">
        <v>42</v>
      </c>
      <c r="B1702">
        <v>46</v>
      </c>
      <c r="C1702">
        <v>408</v>
      </c>
      <c r="D1702" t="s">
        <v>29</v>
      </c>
      <c r="E1702" t="s">
        <v>29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 x14ac:dyDescent="0.25">
      <c r="A1703" t="s">
        <v>40</v>
      </c>
      <c r="B1703">
        <v>73</v>
      </c>
      <c r="C1703">
        <v>408</v>
      </c>
      <c r="D1703" t="s">
        <v>29</v>
      </c>
      <c r="E1703" t="s">
        <v>30</v>
      </c>
      <c r="F1703">
        <v>26</v>
      </c>
      <c r="G1703">
        <v>131.19999999999999</v>
      </c>
      <c r="H1703">
        <v>98</v>
      </c>
      <c r="I1703">
        <v>22.3</v>
      </c>
      <c r="J1703">
        <v>106.5</v>
      </c>
      <c r="K1703">
        <v>97</v>
      </c>
      <c r="L1703">
        <v>9.0500000000000007</v>
      </c>
      <c r="M1703">
        <v>221.7</v>
      </c>
      <c r="N1703">
        <v>96</v>
      </c>
      <c r="O1703">
        <v>9.98</v>
      </c>
      <c r="P1703">
        <v>10.199999999999999</v>
      </c>
      <c r="Q1703">
        <v>6</v>
      </c>
      <c r="R1703">
        <v>2.75</v>
      </c>
      <c r="S1703">
        <v>2</v>
      </c>
      <c r="T1703" t="b">
        <v>0</v>
      </c>
    </row>
    <row r="1704" spans="1:20" x14ac:dyDescent="0.25">
      <c r="A1704" t="s">
        <v>80</v>
      </c>
      <c r="B1704">
        <v>146</v>
      </c>
      <c r="C1704">
        <v>408</v>
      </c>
      <c r="D1704" t="s">
        <v>29</v>
      </c>
      <c r="E1704" t="s">
        <v>30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 x14ac:dyDescent="0.25">
      <c r="A1705" t="s">
        <v>67</v>
      </c>
      <c r="B1705">
        <v>93</v>
      </c>
      <c r="C1705">
        <v>415</v>
      </c>
      <c r="D1705" t="s">
        <v>29</v>
      </c>
      <c r="E1705" t="s">
        <v>29</v>
      </c>
      <c r="F1705">
        <v>0</v>
      </c>
      <c r="G1705">
        <v>239.8</v>
      </c>
      <c r="H1705">
        <v>70</v>
      </c>
      <c r="I1705">
        <v>40.770000000000003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 x14ac:dyDescent="0.25">
      <c r="A1706" t="s">
        <v>31</v>
      </c>
      <c r="B1706">
        <v>52</v>
      </c>
      <c r="C1706">
        <v>408</v>
      </c>
      <c r="D1706" t="s">
        <v>29</v>
      </c>
      <c r="E1706" t="s">
        <v>30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 x14ac:dyDescent="0.25">
      <c r="A1707" t="s">
        <v>53</v>
      </c>
      <c r="B1707">
        <v>202</v>
      </c>
      <c r="C1707">
        <v>510</v>
      </c>
      <c r="D1707" t="s">
        <v>29</v>
      </c>
      <c r="E1707" t="s">
        <v>29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 x14ac:dyDescent="0.25">
      <c r="A1708" t="s">
        <v>66</v>
      </c>
      <c r="B1708">
        <v>129</v>
      </c>
      <c r="C1708">
        <v>510</v>
      </c>
      <c r="D1708" t="s">
        <v>29</v>
      </c>
      <c r="E1708" t="s">
        <v>30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 x14ac:dyDescent="0.25">
      <c r="A1709" t="s">
        <v>80</v>
      </c>
      <c r="B1709">
        <v>94</v>
      </c>
      <c r="C1709">
        <v>415</v>
      </c>
      <c r="D1709" t="s">
        <v>29</v>
      </c>
      <c r="E1709" t="s">
        <v>29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 x14ac:dyDescent="0.25">
      <c r="A1710" t="s">
        <v>34</v>
      </c>
      <c r="B1710">
        <v>100</v>
      </c>
      <c r="C1710">
        <v>415</v>
      </c>
      <c r="D1710" t="s">
        <v>29</v>
      </c>
      <c r="E1710" t="s">
        <v>29</v>
      </c>
      <c r="F1710">
        <v>0</v>
      </c>
      <c r="G1710">
        <v>160.30000000000001</v>
      </c>
      <c r="H1710">
        <v>138</v>
      </c>
      <c r="I1710">
        <v>27.25</v>
      </c>
      <c r="J1710">
        <v>221.3</v>
      </c>
      <c r="K1710">
        <v>92</v>
      </c>
      <c r="L1710">
        <v>18.809999999999999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 x14ac:dyDescent="0.25">
      <c r="A1711" t="s">
        <v>37</v>
      </c>
      <c r="B1711">
        <v>43</v>
      </c>
      <c r="C1711">
        <v>415</v>
      </c>
      <c r="D1711" t="s">
        <v>29</v>
      </c>
      <c r="E1711" t="s">
        <v>29</v>
      </c>
      <c r="F1711">
        <v>0</v>
      </c>
      <c r="G1711">
        <v>199.9</v>
      </c>
      <c r="H1711">
        <v>108</v>
      </c>
      <c r="I1711">
        <v>33.979999999999997</v>
      </c>
      <c r="J1711">
        <v>288.39999999999998</v>
      </c>
      <c r="K1711">
        <v>80</v>
      </c>
      <c r="L1711">
        <v>24.51</v>
      </c>
      <c r="M1711">
        <v>180.6</v>
      </c>
      <c r="N1711">
        <v>103</v>
      </c>
      <c r="O1711">
        <v>8.1300000000000008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 x14ac:dyDescent="0.25">
      <c r="A1712" t="s">
        <v>51</v>
      </c>
      <c r="B1712">
        <v>130</v>
      </c>
      <c r="C1712">
        <v>415</v>
      </c>
      <c r="D1712" t="s">
        <v>29</v>
      </c>
      <c r="E1712" t="s">
        <v>29</v>
      </c>
      <c r="F1712">
        <v>0</v>
      </c>
      <c r="G1712">
        <v>213.1</v>
      </c>
      <c r="H1712">
        <v>105</v>
      </c>
      <c r="I1712">
        <v>36.229999999999997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 x14ac:dyDescent="0.25">
      <c r="A1713" t="s">
        <v>49</v>
      </c>
      <c r="B1713">
        <v>124</v>
      </c>
      <c r="C1713">
        <v>415</v>
      </c>
      <c r="D1713" t="s">
        <v>29</v>
      </c>
      <c r="E1713" t="s">
        <v>29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 x14ac:dyDescent="0.25">
      <c r="A1714" t="s">
        <v>43</v>
      </c>
      <c r="B1714">
        <v>92</v>
      </c>
      <c r="C1714">
        <v>510</v>
      </c>
      <c r="D1714" t="s">
        <v>30</v>
      </c>
      <c r="E1714" t="s">
        <v>29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17.600000000000001</v>
      </c>
      <c r="M1714">
        <v>284.60000000000002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 x14ac:dyDescent="0.25">
      <c r="A1715" t="s">
        <v>42</v>
      </c>
      <c r="B1715">
        <v>48</v>
      </c>
      <c r="C1715">
        <v>415</v>
      </c>
      <c r="D1715" t="s">
        <v>29</v>
      </c>
      <c r="E1715" t="s">
        <v>29</v>
      </c>
      <c r="F1715">
        <v>0</v>
      </c>
      <c r="G1715">
        <v>197.7</v>
      </c>
      <c r="H1715">
        <v>64</v>
      </c>
      <c r="I1715">
        <v>33.61</v>
      </c>
      <c r="J1715">
        <v>136.69999999999999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 x14ac:dyDescent="0.25">
      <c r="A1716" t="s">
        <v>31</v>
      </c>
      <c r="B1716">
        <v>98</v>
      </c>
      <c r="C1716">
        <v>510</v>
      </c>
      <c r="D1716" t="s">
        <v>29</v>
      </c>
      <c r="E1716" t="s">
        <v>30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 x14ac:dyDescent="0.25">
      <c r="A1717" t="s">
        <v>40</v>
      </c>
      <c r="B1717">
        <v>100</v>
      </c>
      <c r="C1717">
        <v>415</v>
      </c>
      <c r="D1717" t="s">
        <v>29</v>
      </c>
      <c r="E1717" t="s">
        <v>29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 x14ac:dyDescent="0.25">
      <c r="A1718" t="s">
        <v>35</v>
      </c>
      <c r="B1718">
        <v>79</v>
      </c>
      <c r="C1718">
        <v>415</v>
      </c>
      <c r="D1718" t="s">
        <v>29</v>
      </c>
      <c r="E1718" t="s">
        <v>29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 x14ac:dyDescent="0.25">
      <c r="A1719" t="s">
        <v>43</v>
      </c>
      <c r="B1719">
        <v>164</v>
      </c>
      <c r="C1719">
        <v>415</v>
      </c>
      <c r="D1719" t="s">
        <v>29</v>
      </c>
      <c r="E1719" t="s">
        <v>29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 x14ac:dyDescent="0.25">
      <c r="A1720" t="s">
        <v>56</v>
      </c>
      <c r="B1720">
        <v>89</v>
      </c>
      <c r="C1720">
        <v>408</v>
      </c>
      <c r="D1720" t="s">
        <v>30</v>
      </c>
      <c r="E1720" t="s">
        <v>29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155.69999999999999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 x14ac:dyDescent="0.25">
      <c r="A1721" t="s">
        <v>48</v>
      </c>
      <c r="B1721">
        <v>126</v>
      </c>
      <c r="C1721">
        <v>415</v>
      </c>
      <c r="D1721" t="s">
        <v>29</v>
      </c>
      <c r="E1721" t="s">
        <v>29</v>
      </c>
      <c r="F1721">
        <v>0</v>
      </c>
      <c r="G1721">
        <v>249.8</v>
      </c>
      <c r="H1721">
        <v>96</v>
      </c>
      <c r="I1721">
        <v>42.47</v>
      </c>
      <c r="J1721">
        <v>261.89999999999998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 x14ac:dyDescent="0.25">
      <c r="A1722" t="s">
        <v>49</v>
      </c>
      <c r="B1722">
        <v>96</v>
      </c>
      <c r="C1722">
        <v>408</v>
      </c>
      <c r="D1722" t="s">
        <v>29</v>
      </c>
      <c r="E1722" t="s">
        <v>29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19.100000000000001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 x14ac:dyDescent="0.25">
      <c r="A1723" t="s">
        <v>39</v>
      </c>
      <c r="B1723">
        <v>120</v>
      </c>
      <c r="C1723">
        <v>415</v>
      </c>
      <c r="D1723" t="s">
        <v>29</v>
      </c>
      <c r="E1723" t="s">
        <v>30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146.69999999999999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 x14ac:dyDescent="0.25">
      <c r="A1724" t="s">
        <v>75</v>
      </c>
      <c r="B1724">
        <v>212</v>
      </c>
      <c r="C1724">
        <v>415</v>
      </c>
      <c r="D1724" t="s">
        <v>29</v>
      </c>
      <c r="E1724" t="s">
        <v>29</v>
      </c>
      <c r="F1724">
        <v>0</v>
      </c>
      <c r="G1724">
        <v>226</v>
      </c>
      <c r="H1724">
        <v>127</v>
      </c>
      <c r="I1724">
        <v>38.42</v>
      </c>
      <c r="J1724">
        <v>304.60000000000002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 x14ac:dyDescent="0.25">
      <c r="A1725" t="s">
        <v>64</v>
      </c>
      <c r="B1725">
        <v>72</v>
      </c>
      <c r="C1725">
        <v>415</v>
      </c>
      <c r="D1725" t="s">
        <v>29</v>
      </c>
      <c r="E1725" t="s">
        <v>29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 x14ac:dyDescent="0.25">
      <c r="A1726" t="s">
        <v>78</v>
      </c>
      <c r="B1726">
        <v>155</v>
      </c>
      <c r="C1726">
        <v>415</v>
      </c>
      <c r="D1726" t="s">
        <v>30</v>
      </c>
      <c r="E1726" t="s">
        <v>30</v>
      </c>
      <c r="F1726">
        <v>26</v>
      </c>
      <c r="G1726">
        <v>211.7</v>
      </c>
      <c r="H1726">
        <v>121</v>
      </c>
      <c r="I1726">
        <v>35.99</v>
      </c>
      <c r="J1726">
        <v>139.19999999999999</v>
      </c>
      <c r="K1726">
        <v>123</v>
      </c>
      <c r="L1726">
        <v>11.83</v>
      </c>
      <c r="M1726">
        <v>146.69999999999999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 x14ac:dyDescent="0.25">
      <c r="A1727" t="s">
        <v>61</v>
      </c>
      <c r="B1727">
        <v>89</v>
      </c>
      <c r="C1727">
        <v>415</v>
      </c>
      <c r="D1727" t="s">
        <v>29</v>
      </c>
      <c r="E1727" t="s">
        <v>29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145.69999999999999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 x14ac:dyDescent="0.25">
      <c r="A1728" t="s">
        <v>49</v>
      </c>
      <c r="B1728">
        <v>126</v>
      </c>
      <c r="C1728">
        <v>408</v>
      </c>
      <c r="D1728" t="s">
        <v>30</v>
      </c>
      <c r="E1728" t="s">
        <v>29</v>
      </c>
      <c r="F1728">
        <v>0</v>
      </c>
      <c r="G1728">
        <v>197.6</v>
      </c>
      <c r="H1728">
        <v>126</v>
      </c>
      <c r="I1728">
        <v>33.590000000000003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 x14ac:dyDescent="0.25">
      <c r="A1729" t="s">
        <v>34</v>
      </c>
      <c r="B1729">
        <v>172</v>
      </c>
      <c r="C1729">
        <v>408</v>
      </c>
      <c r="D1729" t="s">
        <v>29</v>
      </c>
      <c r="E1729" t="s">
        <v>29</v>
      </c>
      <c r="F1729">
        <v>0</v>
      </c>
      <c r="G1729">
        <v>270</v>
      </c>
      <c r="H1729">
        <v>102</v>
      </c>
      <c r="I1729">
        <v>45.9</v>
      </c>
      <c r="J1729">
        <v>256.60000000000002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 x14ac:dyDescent="0.25">
      <c r="A1730" t="s">
        <v>57</v>
      </c>
      <c r="B1730">
        <v>143</v>
      </c>
      <c r="C1730">
        <v>510</v>
      </c>
      <c r="D1730" t="s">
        <v>29</v>
      </c>
      <c r="E1730" t="s">
        <v>29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10.199999999999999</v>
      </c>
      <c r="Q1730">
        <v>2</v>
      </c>
      <c r="R1730">
        <v>2.75</v>
      </c>
      <c r="S1730">
        <v>2</v>
      </c>
      <c r="T1730" t="b">
        <v>0</v>
      </c>
    </row>
    <row r="1731" spans="1:20" x14ac:dyDescent="0.25">
      <c r="A1731" t="s">
        <v>45</v>
      </c>
      <c r="B1731">
        <v>166</v>
      </c>
      <c r="C1731">
        <v>510</v>
      </c>
      <c r="D1731" t="s">
        <v>30</v>
      </c>
      <c r="E1731" t="s">
        <v>29</v>
      </c>
      <c r="F1731">
        <v>0</v>
      </c>
      <c r="G1731">
        <v>47.7</v>
      </c>
      <c r="H1731">
        <v>89</v>
      </c>
      <c r="I1731">
        <v>8.11</v>
      </c>
      <c r="J1731">
        <v>264.39999999999998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 x14ac:dyDescent="0.25">
      <c r="A1732" t="s">
        <v>28</v>
      </c>
      <c r="B1732">
        <v>132</v>
      </c>
      <c r="C1732">
        <v>415</v>
      </c>
      <c r="D1732" t="s">
        <v>29</v>
      </c>
      <c r="E1732" t="s">
        <v>29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 x14ac:dyDescent="0.25">
      <c r="A1733" t="s">
        <v>68</v>
      </c>
      <c r="B1733">
        <v>94</v>
      </c>
      <c r="C1733">
        <v>408</v>
      </c>
      <c r="D1733" t="s">
        <v>30</v>
      </c>
      <c r="E1733" t="s">
        <v>29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 x14ac:dyDescent="0.25">
      <c r="A1734" t="s">
        <v>70</v>
      </c>
      <c r="B1734">
        <v>99</v>
      </c>
      <c r="C1734">
        <v>415</v>
      </c>
      <c r="D1734" t="s">
        <v>29</v>
      </c>
      <c r="E1734" t="s">
        <v>29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 x14ac:dyDescent="0.25">
      <c r="A1735" t="s">
        <v>43</v>
      </c>
      <c r="B1735">
        <v>136</v>
      </c>
      <c r="C1735">
        <v>415</v>
      </c>
      <c r="D1735" t="s">
        <v>29</v>
      </c>
      <c r="E1735" t="s">
        <v>30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 x14ac:dyDescent="0.25">
      <c r="A1736" t="s">
        <v>28</v>
      </c>
      <c r="B1736">
        <v>119</v>
      </c>
      <c r="C1736">
        <v>415</v>
      </c>
      <c r="D1736" t="s">
        <v>29</v>
      </c>
      <c r="E1736" t="s">
        <v>29</v>
      </c>
      <c r="F1736">
        <v>0</v>
      </c>
      <c r="G1736">
        <v>231.5</v>
      </c>
      <c r="H1736">
        <v>82</v>
      </c>
      <c r="I1736">
        <v>39.36</v>
      </c>
      <c r="J1736">
        <v>266.89999999999998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 x14ac:dyDescent="0.25">
      <c r="A1737" t="s">
        <v>64</v>
      </c>
      <c r="B1737">
        <v>115</v>
      </c>
      <c r="C1737">
        <v>510</v>
      </c>
      <c r="D1737" t="s">
        <v>30</v>
      </c>
      <c r="E1737" t="s">
        <v>29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 x14ac:dyDescent="0.25">
      <c r="A1738" t="s">
        <v>36</v>
      </c>
      <c r="B1738">
        <v>160</v>
      </c>
      <c r="C1738">
        <v>415</v>
      </c>
      <c r="D1738" t="s">
        <v>29</v>
      </c>
      <c r="E1738" t="s">
        <v>29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 x14ac:dyDescent="0.25">
      <c r="A1739" t="s">
        <v>79</v>
      </c>
      <c r="B1739">
        <v>166</v>
      </c>
      <c r="C1739">
        <v>510</v>
      </c>
      <c r="D1739" t="s">
        <v>29</v>
      </c>
      <c r="E1739" t="s">
        <v>29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138.30000000000001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 x14ac:dyDescent="0.25">
      <c r="A1740" t="s">
        <v>62</v>
      </c>
      <c r="B1740">
        <v>120</v>
      </c>
      <c r="C1740">
        <v>510</v>
      </c>
      <c r="D1740" t="s">
        <v>29</v>
      </c>
      <c r="E1740" t="s">
        <v>29</v>
      </c>
      <c r="F1740">
        <v>0</v>
      </c>
      <c r="G1740">
        <v>134.80000000000001</v>
      </c>
      <c r="H1740">
        <v>94</v>
      </c>
      <c r="I1740">
        <v>22.92</v>
      </c>
      <c r="J1740">
        <v>204.1</v>
      </c>
      <c r="K1740">
        <v>106</v>
      </c>
      <c r="L1740">
        <v>17.350000000000001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 x14ac:dyDescent="0.25">
      <c r="A1741" t="s">
        <v>37</v>
      </c>
      <c r="B1741">
        <v>173</v>
      </c>
      <c r="C1741">
        <v>415</v>
      </c>
      <c r="D1741" t="s">
        <v>29</v>
      </c>
      <c r="E1741" t="s">
        <v>29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 x14ac:dyDescent="0.25">
      <c r="A1742" t="s">
        <v>50</v>
      </c>
      <c r="B1742">
        <v>156</v>
      </c>
      <c r="C1742">
        <v>415</v>
      </c>
      <c r="D1742" t="s">
        <v>29</v>
      </c>
      <c r="E1742" t="s">
        <v>29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 x14ac:dyDescent="0.25">
      <c r="A1743" t="s">
        <v>70</v>
      </c>
      <c r="B1743">
        <v>70</v>
      </c>
      <c r="C1743">
        <v>415</v>
      </c>
      <c r="D1743" t="s">
        <v>29</v>
      </c>
      <c r="E1743" t="s">
        <v>29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 x14ac:dyDescent="0.25">
      <c r="A1744" t="s">
        <v>68</v>
      </c>
      <c r="B1744">
        <v>41</v>
      </c>
      <c r="C1744">
        <v>510</v>
      </c>
      <c r="D1744" t="s">
        <v>29</v>
      </c>
      <c r="E1744" t="s">
        <v>29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 x14ac:dyDescent="0.25">
      <c r="A1745" t="s">
        <v>34</v>
      </c>
      <c r="B1745">
        <v>132</v>
      </c>
      <c r="C1745">
        <v>408</v>
      </c>
      <c r="D1745" t="s">
        <v>29</v>
      </c>
      <c r="E1745" t="s">
        <v>29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9.3800000000000008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 x14ac:dyDescent="0.25">
      <c r="A1746" t="s">
        <v>28</v>
      </c>
      <c r="B1746">
        <v>47</v>
      </c>
      <c r="C1746">
        <v>510</v>
      </c>
      <c r="D1746" t="s">
        <v>30</v>
      </c>
      <c r="E1746" t="s">
        <v>29</v>
      </c>
      <c r="F1746">
        <v>0</v>
      </c>
      <c r="G1746">
        <v>47.8</v>
      </c>
      <c r="H1746">
        <v>120</v>
      </c>
      <c r="I1746">
        <v>8.1300000000000008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 x14ac:dyDescent="0.25">
      <c r="A1747" t="s">
        <v>79</v>
      </c>
      <c r="B1747">
        <v>160</v>
      </c>
      <c r="C1747">
        <v>510</v>
      </c>
      <c r="D1747" t="s">
        <v>29</v>
      </c>
      <c r="E1747" t="s">
        <v>29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150.69999999999999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 x14ac:dyDescent="0.25">
      <c r="A1748" t="s">
        <v>33</v>
      </c>
      <c r="B1748">
        <v>180</v>
      </c>
      <c r="C1748">
        <v>415</v>
      </c>
      <c r="D1748" t="s">
        <v>29</v>
      </c>
      <c r="E1748" t="s">
        <v>29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8.8000000000000007</v>
      </c>
      <c r="Q1748">
        <v>5</v>
      </c>
      <c r="R1748">
        <v>2.38</v>
      </c>
      <c r="S1748">
        <v>3</v>
      </c>
      <c r="T1748" t="b">
        <v>0</v>
      </c>
    </row>
    <row r="1749" spans="1:20" x14ac:dyDescent="0.25">
      <c r="A1749" t="s">
        <v>61</v>
      </c>
      <c r="B1749">
        <v>93</v>
      </c>
      <c r="C1749">
        <v>415</v>
      </c>
      <c r="D1749" t="s">
        <v>29</v>
      </c>
      <c r="E1749" t="s">
        <v>29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 x14ac:dyDescent="0.25">
      <c r="A1750" t="s">
        <v>31</v>
      </c>
      <c r="B1750">
        <v>109</v>
      </c>
      <c r="C1750">
        <v>415</v>
      </c>
      <c r="D1750" t="s">
        <v>29</v>
      </c>
      <c r="E1750" t="s">
        <v>29</v>
      </c>
      <c r="F1750">
        <v>0</v>
      </c>
      <c r="G1750">
        <v>193.6</v>
      </c>
      <c r="H1750">
        <v>58</v>
      </c>
      <c r="I1750">
        <v>32.909999999999997</v>
      </c>
      <c r="J1750">
        <v>148.69999999999999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 x14ac:dyDescent="0.25">
      <c r="A1751" t="s">
        <v>49</v>
      </c>
      <c r="B1751">
        <v>80</v>
      </c>
      <c r="C1751">
        <v>510</v>
      </c>
      <c r="D1751" t="s">
        <v>29</v>
      </c>
      <c r="E1751" t="s">
        <v>29</v>
      </c>
      <c r="F1751">
        <v>0</v>
      </c>
      <c r="G1751">
        <v>101.1</v>
      </c>
      <c r="H1751">
        <v>121</v>
      </c>
      <c r="I1751">
        <v>17.190000000000001</v>
      </c>
      <c r="J1751">
        <v>263.2</v>
      </c>
      <c r="K1751">
        <v>110</v>
      </c>
      <c r="L1751">
        <v>22.37</v>
      </c>
      <c r="M1751">
        <v>137.69999999999999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 x14ac:dyDescent="0.25">
      <c r="A1752" t="s">
        <v>67</v>
      </c>
      <c r="B1752">
        <v>54</v>
      </c>
      <c r="C1752">
        <v>415</v>
      </c>
      <c r="D1752" t="s">
        <v>29</v>
      </c>
      <c r="E1752" t="s">
        <v>30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 x14ac:dyDescent="0.25">
      <c r="A1753" t="s">
        <v>34</v>
      </c>
      <c r="B1753">
        <v>121</v>
      </c>
      <c r="C1753">
        <v>415</v>
      </c>
      <c r="D1753" t="s">
        <v>29</v>
      </c>
      <c r="E1753" t="s">
        <v>29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 x14ac:dyDescent="0.25">
      <c r="A1754" t="s">
        <v>69</v>
      </c>
      <c r="B1754">
        <v>157</v>
      </c>
      <c r="C1754">
        <v>510</v>
      </c>
      <c r="D1754" t="s">
        <v>29</v>
      </c>
      <c r="E1754" t="s">
        <v>30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17.510000000000002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 x14ac:dyDescent="0.25">
      <c r="A1755" t="s">
        <v>41</v>
      </c>
      <c r="B1755">
        <v>170</v>
      </c>
      <c r="C1755">
        <v>510</v>
      </c>
      <c r="D1755" t="s">
        <v>29</v>
      </c>
      <c r="E1755" t="s">
        <v>30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 x14ac:dyDescent="0.25">
      <c r="A1756" t="s">
        <v>56</v>
      </c>
      <c r="B1756">
        <v>138</v>
      </c>
      <c r="C1756">
        <v>510</v>
      </c>
      <c r="D1756" t="s">
        <v>29</v>
      </c>
      <c r="E1756" t="s">
        <v>29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 x14ac:dyDescent="0.25">
      <c r="A1757" t="s">
        <v>41</v>
      </c>
      <c r="B1757">
        <v>92</v>
      </c>
      <c r="C1757">
        <v>415</v>
      </c>
      <c r="D1757" t="s">
        <v>29</v>
      </c>
      <c r="E1757" t="s">
        <v>30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 x14ac:dyDescent="0.25">
      <c r="A1758" t="s">
        <v>65</v>
      </c>
      <c r="B1758">
        <v>167</v>
      </c>
      <c r="C1758">
        <v>415</v>
      </c>
      <c r="D1758" t="s">
        <v>29</v>
      </c>
      <c r="E1758" t="s">
        <v>29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 x14ac:dyDescent="0.25">
      <c r="A1759" t="s">
        <v>61</v>
      </c>
      <c r="B1759">
        <v>91</v>
      </c>
      <c r="C1759">
        <v>510</v>
      </c>
      <c r="D1759" t="s">
        <v>29</v>
      </c>
      <c r="E1759" t="s">
        <v>29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 x14ac:dyDescent="0.25">
      <c r="A1760" t="s">
        <v>38</v>
      </c>
      <c r="B1760">
        <v>127</v>
      </c>
      <c r="C1760">
        <v>510</v>
      </c>
      <c r="D1760" t="s">
        <v>29</v>
      </c>
      <c r="E1760" t="s">
        <v>29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162.19999999999999</v>
      </c>
      <c r="N1760">
        <v>127</v>
      </c>
      <c r="O1760">
        <v>7.3</v>
      </c>
      <c r="P1760">
        <v>9.6999999999999993</v>
      </c>
      <c r="Q1760">
        <v>4</v>
      </c>
      <c r="R1760">
        <v>2.62</v>
      </c>
      <c r="S1760">
        <v>3</v>
      </c>
      <c r="T1760" t="b">
        <v>0</v>
      </c>
    </row>
    <row r="1761" spans="1:20" x14ac:dyDescent="0.25">
      <c r="A1761" t="s">
        <v>64</v>
      </c>
      <c r="B1761">
        <v>88</v>
      </c>
      <c r="C1761">
        <v>408</v>
      </c>
      <c r="D1761" t="s">
        <v>29</v>
      </c>
      <c r="E1761" t="s">
        <v>30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 x14ac:dyDescent="0.25">
      <c r="A1762" t="s">
        <v>44</v>
      </c>
      <c r="B1762">
        <v>123</v>
      </c>
      <c r="C1762">
        <v>408</v>
      </c>
      <c r="D1762" t="s">
        <v>29</v>
      </c>
      <c r="E1762" t="s">
        <v>29</v>
      </c>
      <c r="F1762">
        <v>0</v>
      </c>
      <c r="G1762">
        <v>257.89999999999998</v>
      </c>
      <c r="H1762">
        <v>92</v>
      </c>
      <c r="I1762">
        <v>43.84</v>
      </c>
      <c r="J1762">
        <v>211.6</v>
      </c>
      <c r="K1762">
        <v>71</v>
      </c>
      <c r="L1762">
        <v>17.989999999999998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 x14ac:dyDescent="0.25">
      <c r="A1763" t="s">
        <v>59</v>
      </c>
      <c r="B1763">
        <v>136</v>
      </c>
      <c r="C1763">
        <v>408</v>
      </c>
      <c r="D1763" t="s">
        <v>30</v>
      </c>
      <c r="E1763" t="s">
        <v>30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19.579999999999998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2.4300000000000002</v>
      </c>
      <c r="S1763">
        <v>2</v>
      </c>
      <c r="T1763" t="b">
        <v>0</v>
      </c>
    </row>
    <row r="1764" spans="1:20" x14ac:dyDescent="0.25">
      <c r="A1764" t="s">
        <v>73</v>
      </c>
      <c r="B1764">
        <v>68</v>
      </c>
      <c r="C1764">
        <v>415</v>
      </c>
      <c r="D1764" t="s">
        <v>29</v>
      </c>
      <c r="E1764" t="s">
        <v>30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9.3699999999999992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 x14ac:dyDescent="0.25">
      <c r="A1765" t="s">
        <v>31</v>
      </c>
      <c r="B1765">
        <v>132</v>
      </c>
      <c r="C1765">
        <v>415</v>
      </c>
      <c r="D1765" t="s">
        <v>29</v>
      </c>
      <c r="E1765" t="s">
        <v>30</v>
      </c>
      <c r="F1765">
        <v>10</v>
      </c>
      <c r="G1765">
        <v>182.9</v>
      </c>
      <c r="H1765">
        <v>54</v>
      </c>
      <c r="I1765">
        <v>31.09</v>
      </c>
      <c r="J1765">
        <v>292.39999999999998</v>
      </c>
      <c r="K1765">
        <v>68</v>
      </c>
      <c r="L1765">
        <v>24.85</v>
      </c>
      <c r="M1765">
        <v>142.30000000000001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 x14ac:dyDescent="0.25">
      <c r="A1766" t="s">
        <v>52</v>
      </c>
      <c r="B1766">
        <v>133</v>
      </c>
      <c r="C1766">
        <v>415</v>
      </c>
      <c r="D1766" t="s">
        <v>29</v>
      </c>
      <c r="E1766" t="s">
        <v>29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 x14ac:dyDescent="0.25">
      <c r="A1767" t="s">
        <v>45</v>
      </c>
      <c r="B1767">
        <v>127</v>
      </c>
      <c r="C1767">
        <v>415</v>
      </c>
      <c r="D1767" t="s">
        <v>29</v>
      </c>
      <c r="E1767" t="s">
        <v>29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 x14ac:dyDescent="0.25">
      <c r="A1768" t="s">
        <v>37</v>
      </c>
      <c r="B1768">
        <v>121</v>
      </c>
      <c r="C1768">
        <v>510</v>
      </c>
      <c r="D1768" t="s">
        <v>29</v>
      </c>
      <c r="E1768" t="s">
        <v>29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 x14ac:dyDescent="0.25">
      <c r="A1769" t="s">
        <v>70</v>
      </c>
      <c r="B1769">
        <v>116</v>
      </c>
      <c r="C1769">
        <v>510</v>
      </c>
      <c r="D1769" t="s">
        <v>29</v>
      </c>
      <c r="E1769" t="s">
        <v>29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 x14ac:dyDescent="0.25">
      <c r="A1770" t="s">
        <v>77</v>
      </c>
      <c r="B1770">
        <v>97</v>
      </c>
      <c r="C1770">
        <v>510</v>
      </c>
      <c r="D1770" t="s">
        <v>30</v>
      </c>
      <c r="E1770" t="s">
        <v>29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 x14ac:dyDescent="0.25">
      <c r="A1771" t="s">
        <v>73</v>
      </c>
      <c r="B1771">
        <v>43</v>
      </c>
      <c r="C1771">
        <v>510</v>
      </c>
      <c r="D1771" t="s">
        <v>29</v>
      </c>
      <c r="E1771" t="s">
        <v>29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 x14ac:dyDescent="0.25">
      <c r="A1772" t="s">
        <v>60</v>
      </c>
      <c r="B1772">
        <v>110</v>
      </c>
      <c r="C1772">
        <v>415</v>
      </c>
      <c r="D1772" t="s">
        <v>29</v>
      </c>
      <c r="E1772" t="s">
        <v>29</v>
      </c>
      <c r="F1772">
        <v>0</v>
      </c>
      <c r="G1772">
        <v>151.80000000000001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 x14ac:dyDescent="0.25">
      <c r="A1773" t="s">
        <v>43</v>
      </c>
      <c r="B1773">
        <v>67</v>
      </c>
      <c r="C1773">
        <v>408</v>
      </c>
      <c r="D1773" t="s">
        <v>29</v>
      </c>
      <c r="E1773" t="s">
        <v>29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20.059999999999999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 x14ac:dyDescent="0.25">
      <c r="A1774" t="s">
        <v>66</v>
      </c>
      <c r="B1774">
        <v>166</v>
      </c>
      <c r="C1774">
        <v>408</v>
      </c>
      <c r="D1774" t="s">
        <v>29</v>
      </c>
      <c r="E1774" t="s">
        <v>29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9.8000000000000007</v>
      </c>
      <c r="Q1774">
        <v>5</v>
      </c>
      <c r="R1774">
        <v>2.65</v>
      </c>
      <c r="S1774">
        <v>0</v>
      </c>
      <c r="T1774" t="b">
        <v>0</v>
      </c>
    </row>
    <row r="1775" spans="1:20" x14ac:dyDescent="0.25">
      <c r="A1775" t="s">
        <v>59</v>
      </c>
      <c r="B1775">
        <v>129</v>
      </c>
      <c r="C1775">
        <v>408</v>
      </c>
      <c r="D1775" t="s">
        <v>29</v>
      </c>
      <c r="E1775" t="s">
        <v>29</v>
      </c>
      <c r="F1775">
        <v>0</v>
      </c>
      <c r="G1775">
        <v>161.30000000000001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 x14ac:dyDescent="0.25">
      <c r="A1776" t="s">
        <v>58</v>
      </c>
      <c r="B1776">
        <v>103</v>
      </c>
      <c r="C1776">
        <v>510</v>
      </c>
      <c r="D1776" t="s">
        <v>30</v>
      </c>
      <c r="E1776" t="s">
        <v>29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 x14ac:dyDescent="0.25">
      <c r="A1777" t="s">
        <v>61</v>
      </c>
      <c r="B1777">
        <v>71</v>
      </c>
      <c r="C1777">
        <v>415</v>
      </c>
      <c r="D1777" t="s">
        <v>29</v>
      </c>
      <c r="E1777" t="s">
        <v>29</v>
      </c>
      <c r="F1777">
        <v>0</v>
      </c>
      <c r="G1777">
        <v>278.89999999999998</v>
      </c>
      <c r="H1777">
        <v>110</v>
      </c>
      <c r="I1777">
        <v>47.41</v>
      </c>
      <c r="J1777">
        <v>190.2</v>
      </c>
      <c r="K1777">
        <v>67</v>
      </c>
      <c r="L1777">
        <v>16.170000000000002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 x14ac:dyDescent="0.25">
      <c r="A1778" t="s">
        <v>80</v>
      </c>
      <c r="B1778">
        <v>112</v>
      </c>
      <c r="C1778">
        <v>415</v>
      </c>
      <c r="D1778" t="s">
        <v>29</v>
      </c>
      <c r="E1778" t="s">
        <v>30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8.5399999999999991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 x14ac:dyDescent="0.25">
      <c r="A1779" t="s">
        <v>34</v>
      </c>
      <c r="B1779">
        <v>8</v>
      </c>
      <c r="C1779">
        <v>415</v>
      </c>
      <c r="D1779" t="s">
        <v>29</v>
      </c>
      <c r="E1779" t="s">
        <v>30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 x14ac:dyDescent="0.25">
      <c r="A1780" t="s">
        <v>44</v>
      </c>
      <c r="B1780">
        <v>98</v>
      </c>
      <c r="C1780">
        <v>415</v>
      </c>
      <c r="D1780" t="s">
        <v>29</v>
      </c>
      <c r="E1780" t="s">
        <v>29</v>
      </c>
      <c r="F1780">
        <v>0</v>
      </c>
      <c r="G1780">
        <v>217.2</v>
      </c>
      <c r="H1780">
        <v>121</v>
      </c>
      <c r="I1780">
        <v>36.92</v>
      </c>
      <c r="J1780">
        <v>303.39999999999998</v>
      </c>
      <c r="K1780">
        <v>73</v>
      </c>
      <c r="L1780">
        <v>25.79</v>
      </c>
      <c r="M1780">
        <v>197.1</v>
      </c>
      <c r="N1780">
        <v>71</v>
      </c>
      <c r="O1780">
        <v>8.8699999999999992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 x14ac:dyDescent="0.25">
      <c r="A1781" t="s">
        <v>80</v>
      </c>
      <c r="B1781">
        <v>90</v>
      </c>
      <c r="C1781">
        <v>415</v>
      </c>
      <c r="D1781" t="s">
        <v>29</v>
      </c>
      <c r="E1781" t="s">
        <v>29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150.80000000000001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 x14ac:dyDescent="0.25">
      <c r="A1782" t="s">
        <v>73</v>
      </c>
      <c r="B1782">
        <v>13</v>
      </c>
      <c r="C1782">
        <v>415</v>
      </c>
      <c r="D1782" t="s">
        <v>29</v>
      </c>
      <c r="E1782" t="s">
        <v>29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 x14ac:dyDescent="0.25">
      <c r="A1783" t="s">
        <v>56</v>
      </c>
      <c r="B1783">
        <v>58</v>
      </c>
      <c r="C1783">
        <v>415</v>
      </c>
      <c r="D1783" t="s">
        <v>29</v>
      </c>
      <c r="E1783" t="s">
        <v>29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 x14ac:dyDescent="0.25">
      <c r="A1784" t="s">
        <v>62</v>
      </c>
      <c r="B1784">
        <v>137</v>
      </c>
      <c r="C1784">
        <v>415</v>
      </c>
      <c r="D1784" t="s">
        <v>29</v>
      </c>
      <c r="E1784" t="s">
        <v>30</v>
      </c>
      <c r="F1784">
        <v>22</v>
      </c>
      <c r="G1784">
        <v>189.6</v>
      </c>
      <c r="H1784">
        <v>42</v>
      </c>
      <c r="I1784">
        <v>32.229999999999997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 x14ac:dyDescent="0.25">
      <c r="A1785" t="s">
        <v>74</v>
      </c>
      <c r="B1785">
        <v>116</v>
      </c>
      <c r="C1785">
        <v>408</v>
      </c>
      <c r="D1785" t="s">
        <v>29</v>
      </c>
      <c r="E1785" t="s">
        <v>29</v>
      </c>
      <c r="F1785">
        <v>0</v>
      </c>
      <c r="G1785">
        <v>133.30000000000001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 x14ac:dyDescent="0.25">
      <c r="A1786" t="s">
        <v>37</v>
      </c>
      <c r="B1786">
        <v>94</v>
      </c>
      <c r="C1786">
        <v>415</v>
      </c>
      <c r="D1786" t="s">
        <v>29</v>
      </c>
      <c r="E1786" t="s">
        <v>30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 x14ac:dyDescent="0.25">
      <c r="A1787" t="s">
        <v>59</v>
      </c>
      <c r="B1787">
        <v>87</v>
      </c>
      <c r="C1787">
        <v>415</v>
      </c>
      <c r="D1787" t="s">
        <v>29</v>
      </c>
      <c r="E1787" t="s">
        <v>29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9.0399999999999991</v>
      </c>
      <c r="P1787">
        <v>8.6</v>
      </c>
      <c r="Q1787">
        <v>7</v>
      </c>
      <c r="R1787">
        <v>2.3199999999999998</v>
      </c>
      <c r="S1787">
        <v>3</v>
      </c>
      <c r="T1787" t="b">
        <v>0</v>
      </c>
    </row>
    <row r="1788" spans="1:20" x14ac:dyDescent="0.25">
      <c r="A1788" t="s">
        <v>45</v>
      </c>
      <c r="B1788">
        <v>120</v>
      </c>
      <c r="C1788">
        <v>415</v>
      </c>
      <c r="D1788" t="s">
        <v>29</v>
      </c>
      <c r="E1788" t="s">
        <v>29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10.199999999999999</v>
      </c>
      <c r="Q1788">
        <v>6</v>
      </c>
      <c r="R1788">
        <v>2.75</v>
      </c>
      <c r="S1788">
        <v>2</v>
      </c>
      <c r="T1788" t="b">
        <v>0</v>
      </c>
    </row>
    <row r="1789" spans="1:20" x14ac:dyDescent="0.25">
      <c r="A1789" t="s">
        <v>54</v>
      </c>
      <c r="B1789">
        <v>97</v>
      </c>
      <c r="C1789">
        <v>415</v>
      </c>
      <c r="D1789" t="s">
        <v>29</v>
      </c>
      <c r="E1789" t="s">
        <v>30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269.10000000000002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 x14ac:dyDescent="0.25">
      <c r="A1790" t="s">
        <v>41</v>
      </c>
      <c r="B1790">
        <v>134</v>
      </c>
      <c r="C1790">
        <v>415</v>
      </c>
      <c r="D1790" t="s">
        <v>29</v>
      </c>
      <c r="E1790" t="s">
        <v>29</v>
      </c>
      <c r="F1790">
        <v>0</v>
      </c>
      <c r="G1790">
        <v>204.7</v>
      </c>
      <c r="H1790">
        <v>108</v>
      </c>
      <c r="I1790">
        <v>34.799999999999997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 x14ac:dyDescent="0.25">
      <c r="A1791" t="s">
        <v>31</v>
      </c>
      <c r="B1791">
        <v>68</v>
      </c>
      <c r="C1791">
        <v>510</v>
      </c>
      <c r="D1791" t="s">
        <v>29</v>
      </c>
      <c r="E1791" t="s">
        <v>29</v>
      </c>
      <c r="F1791">
        <v>0</v>
      </c>
      <c r="G1791">
        <v>143.6</v>
      </c>
      <c r="H1791">
        <v>80</v>
      </c>
      <c r="I1791">
        <v>24.41</v>
      </c>
      <c r="J1791">
        <v>134.30000000000001</v>
      </c>
      <c r="K1791">
        <v>65</v>
      </c>
      <c r="L1791">
        <v>11.42</v>
      </c>
      <c r="M1791">
        <v>215.6</v>
      </c>
      <c r="N1791">
        <v>84</v>
      </c>
      <c r="O1791">
        <v>9.6999999999999993</v>
      </c>
      <c r="P1791">
        <v>15.5</v>
      </c>
      <c r="Q1791">
        <v>5</v>
      </c>
      <c r="R1791">
        <v>4.1900000000000004</v>
      </c>
      <c r="S1791">
        <v>2</v>
      </c>
      <c r="T1791" t="b">
        <v>0</v>
      </c>
    </row>
    <row r="1792" spans="1:20" x14ac:dyDescent="0.25">
      <c r="A1792" t="s">
        <v>51</v>
      </c>
      <c r="B1792">
        <v>93</v>
      </c>
      <c r="C1792">
        <v>408</v>
      </c>
      <c r="D1792" t="s">
        <v>29</v>
      </c>
      <c r="E1792" t="s">
        <v>29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 x14ac:dyDescent="0.25">
      <c r="A1793" t="s">
        <v>35</v>
      </c>
      <c r="B1793">
        <v>120</v>
      </c>
      <c r="C1793">
        <v>415</v>
      </c>
      <c r="D1793" t="s">
        <v>29</v>
      </c>
      <c r="E1793" t="s">
        <v>29</v>
      </c>
      <c r="F1793">
        <v>0</v>
      </c>
      <c r="G1793">
        <v>137.30000000000001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152.69999999999999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 x14ac:dyDescent="0.25">
      <c r="A1794" t="s">
        <v>75</v>
      </c>
      <c r="B1794">
        <v>41</v>
      </c>
      <c r="C1794">
        <v>408</v>
      </c>
      <c r="D1794" t="s">
        <v>29</v>
      </c>
      <c r="E1794" t="s">
        <v>29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9.7799999999999994</v>
      </c>
      <c r="P1794">
        <v>10.199999999999999</v>
      </c>
      <c r="Q1794">
        <v>6</v>
      </c>
      <c r="R1794">
        <v>2.75</v>
      </c>
      <c r="S1794">
        <v>2</v>
      </c>
      <c r="T1794" t="b">
        <v>0</v>
      </c>
    </row>
    <row r="1795" spans="1:20" x14ac:dyDescent="0.25">
      <c r="A1795" t="s">
        <v>58</v>
      </c>
      <c r="B1795">
        <v>80</v>
      </c>
      <c r="C1795">
        <v>510</v>
      </c>
      <c r="D1795" t="s">
        <v>29</v>
      </c>
      <c r="E1795" t="s">
        <v>29</v>
      </c>
      <c r="F1795">
        <v>0</v>
      </c>
      <c r="G1795">
        <v>203.7</v>
      </c>
      <c r="H1795">
        <v>92</v>
      </c>
      <c r="I1795">
        <v>34.630000000000003</v>
      </c>
      <c r="J1795">
        <v>216.4</v>
      </c>
      <c r="K1795">
        <v>97</v>
      </c>
      <c r="L1795">
        <v>18.39</v>
      </c>
      <c r="M1795">
        <v>154.19999999999999</v>
      </c>
      <c r="N1795">
        <v>66</v>
      </c>
      <c r="O1795">
        <v>6.94</v>
      </c>
      <c r="P1795">
        <v>7.6</v>
      </c>
      <c r="Q1795">
        <v>5</v>
      </c>
      <c r="R1795">
        <v>2.0499999999999998</v>
      </c>
      <c r="S1795">
        <v>2</v>
      </c>
      <c r="T1795" t="b">
        <v>0</v>
      </c>
    </row>
    <row r="1796" spans="1:20" x14ac:dyDescent="0.25">
      <c r="A1796" t="s">
        <v>31</v>
      </c>
      <c r="B1796">
        <v>83</v>
      </c>
      <c r="C1796">
        <v>415</v>
      </c>
      <c r="D1796" t="s">
        <v>29</v>
      </c>
      <c r="E1796" t="s">
        <v>30</v>
      </c>
      <c r="F1796">
        <v>25</v>
      </c>
      <c r="G1796">
        <v>191.3</v>
      </c>
      <c r="H1796">
        <v>95</v>
      </c>
      <c r="I1796">
        <v>32.520000000000003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17.600000000000001</v>
      </c>
      <c r="Q1796">
        <v>5</v>
      </c>
      <c r="R1796">
        <v>4.75</v>
      </c>
      <c r="S1796">
        <v>2</v>
      </c>
      <c r="T1796" t="b">
        <v>0</v>
      </c>
    </row>
    <row r="1797" spans="1:20" x14ac:dyDescent="0.25">
      <c r="A1797" t="s">
        <v>64</v>
      </c>
      <c r="B1797">
        <v>109</v>
      </c>
      <c r="C1797">
        <v>510</v>
      </c>
      <c r="D1797" t="s">
        <v>30</v>
      </c>
      <c r="E1797" t="s">
        <v>29</v>
      </c>
      <c r="F1797">
        <v>0</v>
      </c>
      <c r="G1797">
        <v>209.1</v>
      </c>
      <c r="H1797">
        <v>141</v>
      </c>
      <c r="I1797">
        <v>35.549999999999997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 x14ac:dyDescent="0.25">
      <c r="A1798" t="s">
        <v>71</v>
      </c>
      <c r="B1798">
        <v>66</v>
      </c>
      <c r="C1798">
        <v>510</v>
      </c>
      <c r="D1798" t="s">
        <v>29</v>
      </c>
      <c r="E1798" t="s">
        <v>30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 x14ac:dyDescent="0.25">
      <c r="A1799" t="s">
        <v>65</v>
      </c>
      <c r="B1799">
        <v>89</v>
      </c>
      <c r="C1799">
        <v>510</v>
      </c>
      <c r="D1799" t="s">
        <v>29</v>
      </c>
      <c r="E1799" t="s">
        <v>29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 x14ac:dyDescent="0.25">
      <c r="A1800" t="s">
        <v>38</v>
      </c>
      <c r="B1800">
        <v>117</v>
      </c>
      <c r="C1800">
        <v>408</v>
      </c>
      <c r="D1800" t="s">
        <v>29</v>
      </c>
      <c r="E1800" t="s">
        <v>30</v>
      </c>
      <c r="F1800">
        <v>13</v>
      </c>
      <c r="G1800">
        <v>207.6</v>
      </c>
      <c r="H1800">
        <v>65</v>
      </c>
      <c r="I1800">
        <v>35.29</v>
      </c>
      <c r="J1800">
        <v>152.69999999999999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9.6999999999999993</v>
      </c>
      <c r="Q1800">
        <v>3</v>
      </c>
      <c r="R1800">
        <v>2.62</v>
      </c>
      <c r="S1800">
        <v>1</v>
      </c>
      <c r="T1800" t="b">
        <v>0</v>
      </c>
    </row>
    <row r="1801" spans="1:20" x14ac:dyDescent="0.25">
      <c r="A1801" t="s">
        <v>28</v>
      </c>
      <c r="B1801">
        <v>128</v>
      </c>
      <c r="C1801">
        <v>510</v>
      </c>
      <c r="D1801" t="s">
        <v>29</v>
      </c>
      <c r="E1801" t="s">
        <v>29</v>
      </c>
      <c r="F1801">
        <v>0</v>
      </c>
      <c r="G1801">
        <v>268.10000000000002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 x14ac:dyDescent="0.25">
      <c r="A1802" t="s">
        <v>68</v>
      </c>
      <c r="B1802">
        <v>88</v>
      </c>
      <c r="C1802">
        <v>415</v>
      </c>
      <c r="D1802" t="s">
        <v>29</v>
      </c>
      <c r="E1802" t="s">
        <v>29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 x14ac:dyDescent="0.25">
      <c r="A1803" t="s">
        <v>45</v>
      </c>
      <c r="B1803">
        <v>22</v>
      </c>
      <c r="C1803">
        <v>415</v>
      </c>
      <c r="D1803" t="s">
        <v>29</v>
      </c>
      <c r="E1803" t="s">
        <v>29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9.3000000000000007</v>
      </c>
      <c r="P1803">
        <v>9.3000000000000007</v>
      </c>
      <c r="Q1803">
        <v>3</v>
      </c>
      <c r="R1803">
        <v>2.5099999999999998</v>
      </c>
      <c r="S1803">
        <v>2</v>
      </c>
      <c r="T1803" t="b">
        <v>0</v>
      </c>
    </row>
    <row r="1804" spans="1:20" x14ac:dyDescent="0.25">
      <c r="A1804" t="s">
        <v>49</v>
      </c>
      <c r="B1804">
        <v>78</v>
      </c>
      <c r="C1804">
        <v>415</v>
      </c>
      <c r="D1804" t="s">
        <v>29</v>
      </c>
      <c r="E1804" t="s">
        <v>29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160.69999999999999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 x14ac:dyDescent="0.25">
      <c r="A1805" t="s">
        <v>65</v>
      </c>
      <c r="B1805">
        <v>56</v>
      </c>
      <c r="C1805">
        <v>415</v>
      </c>
      <c r="D1805" t="s">
        <v>29</v>
      </c>
      <c r="E1805" t="s">
        <v>30</v>
      </c>
      <c r="F1805">
        <v>29</v>
      </c>
      <c r="G1805">
        <v>37.700000000000003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10.199999999999999</v>
      </c>
      <c r="P1805">
        <v>4.9000000000000004</v>
      </c>
      <c r="Q1805">
        <v>3</v>
      </c>
      <c r="R1805">
        <v>1.32</v>
      </c>
      <c r="S1805">
        <v>1</v>
      </c>
      <c r="T1805" t="b">
        <v>0</v>
      </c>
    </row>
    <row r="1806" spans="1:20" x14ac:dyDescent="0.25">
      <c r="A1806" t="s">
        <v>46</v>
      </c>
      <c r="B1806">
        <v>192</v>
      </c>
      <c r="C1806">
        <v>415</v>
      </c>
      <c r="D1806" t="s">
        <v>29</v>
      </c>
      <c r="E1806" t="s">
        <v>29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 x14ac:dyDescent="0.25">
      <c r="A1807" t="s">
        <v>57</v>
      </c>
      <c r="B1807">
        <v>70</v>
      </c>
      <c r="C1807">
        <v>415</v>
      </c>
      <c r="D1807" t="s">
        <v>29</v>
      </c>
      <c r="E1807" t="s">
        <v>29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2.3199999999999998</v>
      </c>
      <c r="S1807">
        <v>2</v>
      </c>
      <c r="T1807" t="b">
        <v>0</v>
      </c>
    </row>
    <row r="1808" spans="1:20" x14ac:dyDescent="0.25">
      <c r="A1808" t="s">
        <v>28</v>
      </c>
      <c r="B1808">
        <v>148</v>
      </c>
      <c r="C1808">
        <v>510</v>
      </c>
      <c r="D1808" t="s">
        <v>29</v>
      </c>
      <c r="E1808" t="s">
        <v>29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 x14ac:dyDescent="0.25">
      <c r="A1809" t="s">
        <v>40</v>
      </c>
      <c r="B1809">
        <v>119</v>
      </c>
      <c r="C1809">
        <v>510</v>
      </c>
      <c r="D1809" t="s">
        <v>29</v>
      </c>
      <c r="E1809" t="s">
        <v>29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 x14ac:dyDescent="0.25">
      <c r="A1810" t="s">
        <v>46</v>
      </c>
      <c r="B1810">
        <v>80</v>
      </c>
      <c r="C1810">
        <v>415</v>
      </c>
      <c r="D1810" t="s">
        <v>29</v>
      </c>
      <c r="E1810" t="s">
        <v>29</v>
      </c>
      <c r="F1810">
        <v>0</v>
      </c>
      <c r="G1810">
        <v>194.8</v>
      </c>
      <c r="H1810">
        <v>116</v>
      </c>
      <c r="I1810">
        <v>33.119999999999997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 x14ac:dyDescent="0.25">
      <c r="A1811" t="s">
        <v>45</v>
      </c>
      <c r="B1811">
        <v>113</v>
      </c>
      <c r="C1811">
        <v>510</v>
      </c>
      <c r="D1811" t="s">
        <v>29</v>
      </c>
      <c r="E1811" t="s">
        <v>29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159.80000000000001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 x14ac:dyDescent="0.25">
      <c r="A1812" t="s">
        <v>42</v>
      </c>
      <c r="B1812">
        <v>75</v>
      </c>
      <c r="C1812">
        <v>510</v>
      </c>
      <c r="D1812" t="s">
        <v>29</v>
      </c>
      <c r="E1812" t="s">
        <v>29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 x14ac:dyDescent="0.25">
      <c r="A1813" t="s">
        <v>31</v>
      </c>
      <c r="B1813">
        <v>80</v>
      </c>
      <c r="C1813">
        <v>415</v>
      </c>
      <c r="D1813" t="s">
        <v>29</v>
      </c>
      <c r="E1813" t="s">
        <v>29</v>
      </c>
      <c r="F1813">
        <v>0</v>
      </c>
      <c r="G1813">
        <v>197.6</v>
      </c>
      <c r="H1813">
        <v>83</v>
      </c>
      <c r="I1813">
        <v>33.590000000000003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4.2300000000000004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 x14ac:dyDescent="0.25">
      <c r="A1814" t="s">
        <v>51</v>
      </c>
      <c r="B1814">
        <v>148</v>
      </c>
      <c r="C1814">
        <v>408</v>
      </c>
      <c r="D1814" t="s">
        <v>29</v>
      </c>
      <c r="E1814" t="s">
        <v>29</v>
      </c>
      <c r="F1814">
        <v>0</v>
      </c>
      <c r="G1814">
        <v>17.600000000000001</v>
      </c>
      <c r="H1814">
        <v>121</v>
      </c>
      <c r="I1814">
        <v>2.99</v>
      </c>
      <c r="J1814">
        <v>161.69999999999999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 x14ac:dyDescent="0.25">
      <c r="A1815" t="s">
        <v>45</v>
      </c>
      <c r="B1815">
        <v>97</v>
      </c>
      <c r="C1815">
        <v>415</v>
      </c>
      <c r="D1815" t="s">
        <v>29</v>
      </c>
      <c r="E1815" t="s">
        <v>30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257.60000000000002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 x14ac:dyDescent="0.25">
      <c r="A1816" t="s">
        <v>55</v>
      </c>
      <c r="B1816">
        <v>166</v>
      </c>
      <c r="C1816">
        <v>415</v>
      </c>
      <c r="D1816" t="s">
        <v>29</v>
      </c>
      <c r="E1816" t="s">
        <v>29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 x14ac:dyDescent="0.25">
      <c r="A1817" t="s">
        <v>49</v>
      </c>
      <c r="B1817">
        <v>94</v>
      </c>
      <c r="C1817">
        <v>408</v>
      </c>
      <c r="D1817" t="s">
        <v>29</v>
      </c>
      <c r="E1817" t="s">
        <v>29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 x14ac:dyDescent="0.25">
      <c r="A1818" t="s">
        <v>45</v>
      </c>
      <c r="B1818">
        <v>85</v>
      </c>
      <c r="C1818">
        <v>408</v>
      </c>
      <c r="D1818" t="s">
        <v>29</v>
      </c>
      <c r="E1818" t="s">
        <v>30</v>
      </c>
      <c r="F1818">
        <v>33</v>
      </c>
      <c r="G1818">
        <v>207.9</v>
      </c>
      <c r="H1818">
        <v>95</v>
      </c>
      <c r="I1818">
        <v>35.340000000000003</v>
      </c>
      <c r="J1818">
        <v>233.5</v>
      </c>
      <c r="K1818">
        <v>88</v>
      </c>
      <c r="L1818">
        <v>19.850000000000001</v>
      </c>
      <c r="M1818">
        <v>221.3</v>
      </c>
      <c r="N1818">
        <v>92</v>
      </c>
      <c r="O1818">
        <v>9.9600000000000009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 x14ac:dyDescent="0.25">
      <c r="A1819" t="s">
        <v>76</v>
      </c>
      <c r="B1819">
        <v>80</v>
      </c>
      <c r="C1819">
        <v>415</v>
      </c>
      <c r="D1819" t="s">
        <v>30</v>
      </c>
      <c r="E1819" t="s">
        <v>29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9.4600000000000009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 x14ac:dyDescent="0.25">
      <c r="A1820" t="s">
        <v>64</v>
      </c>
      <c r="B1820">
        <v>210</v>
      </c>
      <c r="C1820">
        <v>415</v>
      </c>
      <c r="D1820" t="s">
        <v>29</v>
      </c>
      <c r="E1820" t="s">
        <v>30</v>
      </c>
      <c r="F1820">
        <v>31</v>
      </c>
      <c r="G1820">
        <v>313.8</v>
      </c>
      <c r="H1820">
        <v>87</v>
      </c>
      <c r="I1820">
        <v>53.35</v>
      </c>
      <c r="J1820">
        <v>147.69999999999999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 x14ac:dyDescent="0.25">
      <c r="A1821" t="s">
        <v>60</v>
      </c>
      <c r="B1821">
        <v>88</v>
      </c>
      <c r="C1821">
        <v>415</v>
      </c>
      <c r="D1821" t="s">
        <v>30</v>
      </c>
      <c r="E1821" t="s">
        <v>30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 x14ac:dyDescent="0.25">
      <c r="A1822" t="s">
        <v>37</v>
      </c>
      <c r="B1822">
        <v>154</v>
      </c>
      <c r="C1822">
        <v>408</v>
      </c>
      <c r="D1822" t="s">
        <v>29</v>
      </c>
      <c r="E1822" t="s">
        <v>30</v>
      </c>
      <c r="F1822">
        <v>35</v>
      </c>
      <c r="G1822">
        <v>64.900000000000006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 x14ac:dyDescent="0.25">
      <c r="A1823" t="s">
        <v>61</v>
      </c>
      <c r="B1823">
        <v>32</v>
      </c>
      <c r="C1823">
        <v>510</v>
      </c>
      <c r="D1823" t="s">
        <v>29</v>
      </c>
      <c r="E1823" t="s">
        <v>30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2.4300000000000002</v>
      </c>
      <c r="S1823">
        <v>1</v>
      </c>
      <c r="T1823" t="b">
        <v>0</v>
      </c>
    </row>
    <row r="1824" spans="1:20" x14ac:dyDescent="0.25">
      <c r="A1824" t="s">
        <v>53</v>
      </c>
      <c r="B1824">
        <v>18</v>
      </c>
      <c r="C1824">
        <v>408</v>
      </c>
      <c r="D1824" t="s">
        <v>29</v>
      </c>
      <c r="E1824" t="s">
        <v>29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17.309999999999999</v>
      </c>
      <c r="M1824">
        <v>202</v>
      </c>
      <c r="N1824">
        <v>105</v>
      </c>
      <c r="O1824">
        <v>9.09</v>
      </c>
      <c r="P1824">
        <v>8.6999999999999993</v>
      </c>
      <c r="Q1824">
        <v>3</v>
      </c>
      <c r="R1824">
        <v>2.35</v>
      </c>
      <c r="S1824">
        <v>3</v>
      </c>
      <c r="T1824" t="b">
        <v>0</v>
      </c>
    </row>
    <row r="1825" spans="1:20" x14ac:dyDescent="0.25">
      <c r="A1825" t="s">
        <v>54</v>
      </c>
      <c r="B1825">
        <v>126</v>
      </c>
      <c r="C1825">
        <v>415</v>
      </c>
      <c r="D1825" t="s">
        <v>29</v>
      </c>
      <c r="E1825" t="s">
        <v>30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10.039999999999999</v>
      </c>
      <c r="P1825">
        <v>8.6999999999999993</v>
      </c>
      <c r="Q1825">
        <v>4</v>
      </c>
      <c r="R1825">
        <v>2.35</v>
      </c>
      <c r="S1825">
        <v>0</v>
      </c>
      <c r="T1825" t="b">
        <v>0</v>
      </c>
    </row>
    <row r="1826" spans="1:20" x14ac:dyDescent="0.25">
      <c r="A1826" t="s">
        <v>61</v>
      </c>
      <c r="B1826">
        <v>144</v>
      </c>
      <c r="C1826">
        <v>510</v>
      </c>
      <c r="D1826" t="s">
        <v>29</v>
      </c>
      <c r="E1826" t="s">
        <v>30</v>
      </c>
      <c r="F1826">
        <v>37</v>
      </c>
      <c r="G1826">
        <v>219.9</v>
      </c>
      <c r="H1826">
        <v>102</v>
      </c>
      <c r="I1826">
        <v>37.380000000000003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 x14ac:dyDescent="0.25">
      <c r="A1827" t="s">
        <v>56</v>
      </c>
      <c r="B1827">
        <v>86</v>
      </c>
      <c r="C1827">
        <v>408</v>
      </c>
      <c r="D1827" t="s">
        <v>29</v>
      </c>
      <c r="E1827" t="s">
        <v>30</v>
      </c>
      <c r="F1827">
        <v>16</v>
      </c>
      <c r="G1827">
        <v>145.69999999999999</v>
      </c>
      <c r="H1827">
        <v>88</v>
      </c>
      <c r="I1827">
        <v>24.77</v>
      </c>
      <c r="J1827">
        <v>191</v>
      </c>
      <c r="K1827">
        <v>129</v>
      </c>
      <c r="L1827">
        <v>16.239999999999998</v>
      </c>
      <c r="M1827">
        <v>215.5</v>
      </c>
      <c r="N1827">
        <v>82</v>
      </c>
      <c r="O1827">
        <v>9.6999999999999993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 x14ac:dyDescent="0.25">
      <c r="A1828" t="s">
        <v>54</v>
      </c>
      <c r="B1828">
        <v>138</v>
      </c>
      <c r="C1828">
        <v>415</v>
      </c>
      <c r="D1828" t="s">
        <v>29</v>
      </c>
      <c r="E1828" t="s">
        <v>30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8.1999999999999993</v>
      </c>
      <c r="Q1828">
        <v>13</v>
      </c>
      <c r="R1828">
        <v>2.21</v>
      </c>
      <c r="S1828">
        <v>0</v>
      </c>
      <c r="T1828" t="b">
        <v>0</v>
      </c>
    </row>
    <row r="1829" spans="1:20" x14ac:dyDescent="0.25">
      <c r="A1829" t="s">
        <v>54</v>
      </c>
      <c r="B1829">
        <v>146</v>
      </c>
      <c r="C1829">
        <v>415</v>
      </c>
      <c r="D1829" t="s">
        <v>29</v>
      </c>
      <c r="E1829" t="s">
        <v>29</v>
      </c>
      <c r="F1829">
        <v>0</v>
      </c>
      <c r="G1829">
        <v>195.9</v>
      </c>
      <c r="H1829">
        <v>86</v>
      </c>
      <c r="I1829">
        <v>33.299999999999997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 x14ac:dyDescent="0.25">
      <c r="A1830" t="s">
        <v>37</v>
      </c>
      <c r="B1830">
        <v>74</v>
      </c>
      <c r="C1830">
        <v>510</v>
      </c>
      <c r="D1830" t="s">
        <v>29</v>
      </c>
      <c r="E1830" t="s">
        <v>29</v>
      </c>
      <c r="F1830">
        <v>0</v>
      </c>
      <c r="G1830">
        <v>124</v>
      </c>
      <c r="H1830">
        <v>102</v>
      </c>
      <c r="I1830">
        <v>21.08</v>
      </c>
      <c r="J1830">
        <v>262.10000000000002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 x14ac:dyDescent="0.25">
      <c r="A1831" t="s">
        <v>80</v>
      </c>
      <c r="B1831">
        <v>48</v>
      </c>
      <c r="C1831">
        <v>415</v>
      </c>
      <c r="D1831" t="s">
        <v>29</v>
      </c>
      <c r="E1831" t="s">
        <v>29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2.0499999999999998</v>
      </c>
      <c r="S1831">
        <v>2</v>
      </c>
      <c r="T1831" t="b">
        <v>0</v>
      </c>
    </row>
    <row r="1832" spans="1:20" x14ac:dyDescent="0.25">
      <c r="A1832" t="s">
        <v>53</v>
      </c>
      <c r="B1832">
        <v>74</v>
      </c>
      <c r="C1832">
        <v>510</v>
      </c>
      <c r="D1832" t="s">
        <v>29</v>
      </c>
      <c r="E1832" t="s">
        <v>30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17.809999999999999</v>
      </c>
      <c r="M1832">
        <v>180.6</v>
      </c>
      <c r="N1832">
        <v>75</v>
      </c>
      <c r="O1832">
        <v>8.1300000000000008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 x14ac:dyDescent="0.25">
      <c r="A1833" t="s">
        <v>68</v>
      </c>
      <c r="B1833">
        <v>105</v>
      </c>
      <c r="C1833">
        <v>415</v>
      </c>
      <c r="D1833" t="s">
        <v>30</v>
      </c>
      <c r="E1833" t="s">
        <v>29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 x14ac:dyDescent="0.25">
      <c r="A1834" t="s">
        <v>42</v>
      </c>
      <c r="B1834">
        <v>157</v>
      </c>
      <c r="C1834">
        <v>510</v>
      </c>
      <c r="D1834" t="s">
        <v>29</v>
      </c>
      <c r="E1834" t="s">
        <v>29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 x14ac:dyDescent="0.25">
      <c r="A1835" t="s">
        <v>69</v>
      </c>
      <c r="B1835">
        <v>217</v>
      </c>
      <c r="C1835">
        <v>415</v>
      </c>
      <c r="D1835" t="s">
        <v>29</v>
      </c>
      <c r="E1835" t="s">
        <v>29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269.60000000000002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 x14ac:dyDescent="0.25">
      <c r="A1836" t="s">
        <v>76</v>
      </c>
      <c r="B1836">
        <v>68</v>
      </c>
      <c r="C1836">
        <v>415</v>
      </c>
      <c r="D1836" t="s">
        <v>29</v>
      </c>
      <c r="E1836" t="s">
        <v>29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 x14ac:dyDescent="0.25">
      <c r="A1837" t="s">
        <v>58</v>
      </c>
      <c r="B1837">
        <v>80</v>
      </c>
      <c r="C1837">
        <v>415</v>
      </c>
      <c r="D1837" t="s">
        <v>29</v>
      </c>
      <c r="E1837" t="s">
        <v>29</v>
      </c>
      <c r="F1837">
        <v>0</v>
      </c>
      <c r="G1837">
        <v>113.2</v>
      </c>
      <c r="H1837">
        <v>86</v>
      </c>
      <c r="I1837">
        <v>19.239999999999998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 x14ac:dyDescent="0.25">
      <c r="A1838" t="s">
        <v>73</v>
      </c>
      <c r="B1838">
        <v>38</v>
      </c>
      <c r="C1838">
        <v>415</v>
      </c>
      <c r="D1838" t="s">
        <v>29</v>
      </c>
      <c r="E1838" t="s">
        <v>30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 x14ac:dyDescent="0.25">
      <c r="A1839" t="s">
        <v>64</v>
      </c>
      <c r="B1839">
        <v>107</v>
      </c>
      <c r="C1839">
        <v>415</v>
      </c>
      <c r="D1839" t="s">
        <v>29</v>
      </c>
      <c r="E1839" t="s">
        <v>30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8.3000000000000007</v>
      </c>
      <c r="Q1839">
        <v>4</v>
      </c>
      <c r="R1839">
        <v>2.2400000000000002</v>
      </c>
      <c r="S1839">
        <v>0</v>
      </c>
      <c r="T1839" t="b">
        <v>0</v>
      </c>
    </row>
    <row r="1840" spans="1:20" x14ac:dyDescent="0.25">
      <c r="A1840" t="s">
        <v>46</v>
      </c>
      <c r="B1840">
        <v>140</v>
      </c>
      <c r="C1840">
        <v>415</v>
      </c>
      <c r="D1840" t="s">
        <v>29</v>
      </c>
      <c r="E1840" t="s">
        <v>29</v>
      </c>
      <c r="F1840">
        <v>0</v>
      </c>
      <c r="G1840">
        <v>149.69999999999999</v>
      </c>
      <c r="H1840">
        <v>71</v>
      </c>
      <c r="I1840">
        <v>25.45</v>
      </c>
      <c r="J1840">
        <v>212.5</v>
      </c>
      <c r="K1840">
        <v>97</v>
      </c>
      <c r="L1840">
        <v>18.059999999999999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 x14ac:dyDescent="0.25">
      <c r="A1841" t="s">
        <v>56</v>
      </c>
      <c r="B1841">
        <v>98</v>
      </c>
      <c r="C1841">
        <v>415</v>
      </c>
      <c r="D1841" t="s">
        <v>29</v>
      </c>
      <c r="E1841" t="s">
        <v>29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 x14ac:dyDescent="0.25">
      <c r="A1842" t="s">
        <v>77</v>
      </c>
      <c r="B1842">
        <v>114</v>
      </c>
      <c r="C1842">
        <v>415</v>
      </c>
      <c r="D1842" t="s">
        <v>29</v>
      </c>
      <c r="E1842" t="s">
        <v>29</v>
      </c>
      <c r="F1842">
        <v>0</v>
      </c>
      <c r="G1842">
        <v>155.30000000000001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 x14ac:dyDescent="0.25">
      <c r="A1843" t="s">
        <v>66</v>
      </c>
      <c r="B1843">
        <v>46</v>
      </c>
      <c r="C1843">
        <v>408</v>
      </c>
      <c r="D1843" t="s">
        <v>29</v>
      </c>
      <c r="E1843" t="s">
        <v>29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10.199999999999999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 x14ac:dyDescent="0.25">
      <c r="A1844" t="s">
        <v>67</v>
      </c>
      <c r="B1844">
        <v>118</v>
      </c>
      <c r="C1844">
        <v>415</v>
      </c>
      <c r="D1844" t="s">
        <v>29</v>
      </c>
      <c r="E1844" t="s">
        <v>30</v>
      </c>
      <c r="F1844">
        <v>42</v>
      </c>
      <c r="G1844">
        <v>148.69999999999999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270.60000000000002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 x14ac:dyDescent="0.25">
      <c r="A1845" t="s">
        <v>61</v>
      </c>
      <c r="B1845">
        <v>37</v>
      </c>
      <c r="C1845">
        <v>510</v>
      </c>
      <c r="D1845" t="s">
        <v>29</v>
      </c>
      <c r="E1845" t="s">
        <v>29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 x14ac:dyDescent="0.25">
      <c r="A1846" t="s">
        <v>48</v>
      </c>
      <c r="B1846">
        <v>34</v>
      </c>
      <c r="C1846">
        <v>415</v>
      </c>
      <c r="D1846" t="s">
        <v>29</v>
      </c>
      <c r="E1846" t="s">
        <v>29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9.9499999999999993</v>
      </c>
      <c r="P1846">
        <v>8.8000000000000007</v>
      </c>
      <c r="Q1846">
        <v>4</v>
      </c>
      <c r="R1846">
        <v>2.38</v>
      </c>
      <c r="S1846">
        <v>0</v>
      </c>
      <c r="T1846" t="b">
        <v>0</v>
      </c>
    </row>
    <row r="1847" spans="1:20" x14ac:dyDescent="0.25">
      <c r="A1847" t="s">
        <v>68</v>
      </c>
      <c r="B1847">
        <v>113</v>
      </c>
      <c r="C1847">
        <v>510</v>
      </c>
      <c r="D1847" t="s">
        <v>29</v>
      </c>
      <c r="E1847" t="s">
        <v>29</v>
      </c>
      <c r="F1847">
        <v>0</v>
      </c>
      <c r="G1847">
        <v>245.3</v>
      </c>
      <c r="H1847">
        <v>108</v>
      </c>
      <c r="I1847">
        <v>41.7</v>
      </c>
      <c r="J1847">
        <v>259.89999999999998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 x14ac:dyDescent="0.25">
      <c r="A1848" t="s">
        <v>58</v>
      </c>
      <c r="B1848">
        <v>69</v>
      </c>
      <c r="C1848">
        <v>408</v>
      </c>
      <c r="D1848" t="s">
        <v>29</v>
      </c>
      <c r="E1848" t="s">
        <v>29</v>
      </c>
      <c r="F1848">
        <v>0</v>
      </c>
      <c r="G1848">
        <v>196.1</v>
      </c>
      <c r="H1848">
        <v>87</v>
      </c>
      <c r="I1848">
        <v>33.340000000000003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8.1999999999999993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 x14ac:dyDescent="0.25">
      <c r="A1849" t="s">
        <v>32</v>
      </c>
      <c r="B1849">
        <v>59</v>
      </c>
      <c r="C1849">
        <v>510</v>
      </c>
      <c r="D1849" t="s">
        <v>30</v>
      </c>
      <c r="E1849" t="s">
        <v>30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16.260000000000002</v>
      </c>
      <c r="M1849">
        <v>226.7</v>
      </c>
      <c r="N1849">
        <v>79</v>
      </c>
      <c r="O1849">
        <v>10.199999999999999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 x14ac:dyDescent="0.25">
      <c r="A1850" t="s">
        <v>37</v>
      </c>
      <c r="B1850">
        <v>59</v>
      </c>
      <c r="C1850">
        <v>510</v>
      </c>
      <c r="D1850" t="s">
        <v>29</v>
      </c>
      <c r="E1850" t="s">
        <v>29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 x14ac:dyDescent="0.25">
      <c r="A1851" t="s">
        <v>58</v>
      </c>
      <c r="B1851">
        <v>190</v>
      </c>
      <c r="C1851">
        <v>415</v>
      </c>
      <c r="D1851" t="s">
        <v>29</v>
      </c>
      <c r="E1851" t="s">
        <v>29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5.0999999999999996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 x14ac:dyDescent="0.25">
      <c r="A1852" t="s">
        <v>71</v>
      </c>
      <c r="B1852">
        <v>109</v>
      </c>
      <c r="C1852">
        <v>415</v>
      </c>
      <c r="D1852" t="s">
        <v>29</v>
      </c>
      <c r="E1852" t="s">
        <v>29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10.199999999999999</v>
      </c>
      <c r="Q1852">
        <v>6</v>
      </c>
      <c r="R1852">
        <v>2.75</v>
      </c>
      <c r="S1852">
        <v>1</v>
      </c>
      <c r="T1852" t="b">
        <v>0</v>
      </c>
    </row>
    <row r="1853" spans="1:20" x14ac:dyDescent="0.25">
      <c r="A1853" t="s">
        <v>36</v>
      </c>
      <c r="B1853">
        <v>136</v>
      </c>
      <c r="C1853">
        <v>415</v>
      </c>
      <c r="D1853" t="s">
        <v>29</v>
      </c>
      <c r="E1853" t="s">
        <v>29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 x14ac:dyDescent="0.25">
      <c r="A1854" t="s">
        <v>44</v>
      </c>
      <c r="B1854">
        <v>86</v>
      </c>
      <c r="C1854">
        <v>510</v>
      </c>
      <c r="D1854" t="s">
        <v>29</v>
      </c>
      <c r="E1854" t="s">
        <v>29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148.69999999999999</v>
      </c>
      <c r="N1854">
        <v>115</v>
      </c>
      <c r="O1854">
        <v>6.69</v>
      </c>
      <c r="P1854">
        <v>8.8000000000000007</v>
      </c>
      <c r="Q1854">
        <v>5</v>
      </c>
      <c r="R1854">
        <v>2.38</v>
      </c>
      <c r="S1854">
        <v>1</v>
      </c>
      <c r="T1854" t="b">
        <v>0</v>
      </c>
    </row>
    <row r="1855" spans="1:20" x14ac:dyDescent="0.25">
      <c r="A1855" t="s">
        <v>66</v>
      </c>
      <c r="B1855">
        <v>100</v>
      </c>
      <c r="C1855">
        <v>415</v>
      </c>
      <c r="D1855" t="s">
        <v>29</v>
      </c>
      <c r="E1855" t="s">
        <v>30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 x14ac:dyDescent="0.25">
      <c r="A1856" t="s">
        <v>45</v>
      </c>
      <c r="B1856">
        <v>106</v>
      </c>
      <c r="C1856">
        <v>510</v>
      </c>
      <c r="D1856" t="s">
        <v>29</v>
      </c>
      <c r="E1856" t="s">
        <v>29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8.8000000000000007</v>
      </c>
      <c r="Q1856">
        <v>3</v>
      </c>
      <c r="R1856">
        <v>2.38</v>
      </c>
      <c r="S1856">
        <v>0</v>
      </c>
      <c r="T1856" t="b">
        <v>0</v>
      </c>
    </row>
    <row r="1857" spans="1:20" x14ac:dyDescent="0.25">
      <c r="A1857" t="s">
        <v>37</v>
      </c>
      <c r="B1857">
        <v>129</v>
      </c>
      <c r="C1857">
        <v>415</v>
      </c>
      <c r="D1857" t="s">
        <v>29</v>
      </c>
      <c r="E1857" t="s">
        <v>29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 x14ac:dyDescent="0.25">
      <c r="A1858" t="s">
        <v>60</v>
      </c>
      <c r="B1858">
        <v>205</v>
      </c>
      <c r="C1858">
        <v>510</v>
      </c>
      <c r="D1858" t="s">
        <v>29</v>
      </c>
      <c r="E1858" t="s">
        <v>29</v>
      </c>
      <c r="F1858">
        <v>0</v>
      </c>
      <c r="G1858">
        <v>49.9</v>
      </c>
      <c r="H1858">
        <v>123</v>
      </c>
      <c r="I1858">
        <v>8.48</v>
      </c>
      <c r="J1858">
        <v>150.69999999999999</v>
      </c>
      <c r="K1858">
        <v>81</v>
      </c>
      <c r="L1858">
        <v>12.81</v>
      </c>
      <c r="M1858">
        <v>188.2</v>
      </c>
      <c r="N1858">
        <v>67</v>
      </c>
      <c r="O1858">
        <v>8.4700000000000006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 x14ac:dyDescent="0.25">
      <c r="A1859" t="s">
        <v>33</v>
      </c>
      <c r="B1859">
        <v>93</v>
      </c>
      <c r="C1859">
        <v>415</v>
      </c>
      <c r="D1859" t="s">
        <v>29</v>
      </c>
      <c r="E1859" t="s">
        <v>30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 x14ac:dyDescent="0.25">
      <c r="A1860" t="s">
        <v>59</v>
      </c>
      <c r="B1860">
        <v>99</v>
      </c>
      <c r="C1860">
        <v>415</v>
      </c>
      <c r="D1860" t="s">
        <v>29</v>
      </c>
      <c r="E1860" t="s">
        <v>29</v>
      </c>
      <c r="F1860">
        <v>0</v>
      </c>
      <c r="G1860">
        <v>254.4</v>
      </c>
      <c r="H1860">
        <v>120</v>
      </c>
      <c r="I1860">
        <v>43.25</v>
      </c>
      <c r="J1860">
        <v>159.30000000000001</v>
      </c>
      <c r="K1860">
        <v>92</v>
      </c>
      <c r="L1860">
        <v>13.54</v>
      </c>
      <c r="M1860">
        <v>264.39999999999998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 x14ac:dyDescent="0.25">
      <c r="A1861" t="s">
        <v>50</v>
      </c>
      <c r="B1861">
        <v>71</v>
      </c>
      <c r="C1861">
        <v>415</v>
      </c>
      <c r="D1861" t="s">
        <v>29</v>
      </c>
      <c r="E1861" t="s">
        <v>29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8.0299999999999994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 x14ac:dyDescent="0.25">
      <c r="A1862" t="s">
        <v>61</v>
      </c>
      <c r="B1862">
        <v>4</v>
      </c>
      <c r="C1862">
        <v>510</v>
      </c>
      <c r="D1862" t="s">
        <v>30</v>
      </c>
      <c r="E1862" t="s">
        <v>29</v>
      </c>
      <c r="F1862">
        <v>0</v>
      </c>
      <c r="G1862">
        <v>145.30000000000001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 x14ac:dyDescent="0.25">
      <c r="A1863" t="s">
        <v>50</v>
      </c>
      <c r="B1863">
        <v>148</v>
      </c>
      <c r="C1863">
        <v>408</v>
      </c>
      <c r="D1863" t="s">
        <v>29</v>
      </c>
      <c r="E1863" t="s">
        <v>30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9.7100000000000009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 x14ac:dyDescent="0.25">
      <c r="A1864" t="s">
        <v>65</v>
      </c>
      <c r="B1864">
        <v>141</v>
      </c>
      <c r="C1864">
        <v>415</v>
      </c>
      <c r="D1864" t="s">
        <v>29</v>
      </c>
      <c r="E1864" t="s">
        <v>29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 x14ac:dyDescent="0.25">
      <c r="A1865" t="s">
        <v>67</v>
      </c>
      <c r="B1865">
        <v>56</v>
      </c>
      <c r="C1865">
        <v>408</v>
      </c>
      <c r="D1865" t="s">
        <v>29</v>
      </c>
      <c r="E1865" t="s">
        <v>29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310.10000000000002</v>
      </c>
      <c r="N1865">
        <v>110</v>
      </c>
      <c r="O1865">
        <v>13.95</v>
      </c>
      <c r="P1865">
        <v>9.1999999999999993</v>
      </c>
      <c r="Q1865">
        <v>3</v>
      </c>
      <c r="R1865">
        <v>2.48</v>
      </c>
      <c r="S1865">
        <v>0</v>
      </c>
      <c r="T1865" t="b">
        <v>0</v>
      </c>
    </row>
    <row r="1866" spans="1:20" x14ac:dyDescent="0.25">
      <c r="A1866" t="s">
        <v>43</v>
      </c>
      <c r="B1866">
        <v>43</v>
      </c>
      <c r="C1866">
        <v>408</v>
      </c>
      <c r="D1866" t="s">
        <v>29</v>
      </c>
      <c r="E1866" t="s">
        <v>30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 x14ac:dyDescent="0.25">
      <c r="A1867" t="s">
        <v>40</v>
      </c>
      <c r="B1867">
        <v>42</v>
      </c>
      <c r="C1867">
        <v>415</v>
      </c>
      <c r="D1867" t="s">
        <v>29</v>
      </c>
      <c r="E1867" t="s">
        <v>29</v>
      </c>
      <c r="F1867">
        <v>0</v>
      </c>
      <c r="G1867">
        <v>150.69999999999999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 x14ac:dyDescent="0.25">
      <c r="A1868" t="s">
        <v>80</v>
      </c>
      <c r="B1868">
        <v>135</v>
      </c>
      <c r="C1868">
        <v>415</v>
      </c>
      <c r="D1868" t="s">
        <v>30</v>
      </c>
      <c r="E1868" t="s">
        <v>29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 x14ac:dyDescent="0.25">
      <c r="A1869" t="s">
        <v>34</v>
      </c>
      <c r="B1869">
        <v>106</v>
      </c>
      <c r="C1869">
        <v>415</v>
      </c>
      <c r="D1869" t="s">
        <v>29</v>
      </c>
      <c r="E1869" t="s">
        <v>29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 x14ac:dyDescent="0.25">
      <c r="A1870" t="s">
        <v>37</v>
      </c>
      <c r="B1870">
        <v>106</v>
      </c>
      <c r="C1870">
        <v>510</v>
      </c>
      <c r="D1870" t="s">
        <v>29</v>
      </c>
      <c r="E1870" t="s">
        <v>29</v>
      </c>
      <c r="F1870">
        <v>0</v>
      </c>
      <c r="G1870">
        <v>194.8</v>
      </c>
      <c r="H1870">
        <v>133</v>
      </c>
      <c r="I1870">
        <v>33.119999999999997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 x14ac:dyDescent="0.25">
      <c r="A1871" t="s">
        <v>36</v>
      </c>
      <c r="B1871">
        <v>83</v>
      </c>
      <c r="C1871">
        <v>415</v>
      </c>
      <c r="D1871" t="s">
        <v>29</v>
      </c>
      <c r="E1871" t="s">
        <v>30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8.6999999999999993</v>
      </c>
      <c r="Q1871">
        <v>6</v>
      </c>
      <c r="R1871">
        <v>2.35</v>
      </c>
      <c r="S1871">
        <v>3</v>
      </c>
      <c r="T1871" t="b">
        <v>0</v>
      </c>
    </row>
    <row r="1872" spans="1:20" x14ac:dyDescent="0.25">
      <c r="A1872" t="s">
        <v>79</v>
      </c>
      <c r="B1872">
        <v>110</v>
      </c>
      <c r="C1872">
        <v>415</v>
      </c>
      <c r="D1872" t="s">
        <v>29</v>
      </c>
      <c r="E1872" t="s">
        <v>29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17.440000000000001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 x14ac:dyDescent="0.25">
      <c r="A1873" t="s">
        <v>53</v>
      </c>
      <c r="B1873">
        <v>109</v>
      </c>
      <c r="C1873">
        <v>510</v>
      </c>
      <c r="D1873" t="s">
        <v>29</v>
      </c>
      <c r="E1873" t="s">
        <v>30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 x14ac:dyDescent="0.25">
      <c r="A1874" t="s">
        <v>52</v>
      </c>
      <c r="B1874">
        <v>124</v>
      </c>
      <c r="C1874">
        <v>510</v>
      </c>
      <c r="D1874" t="s">
        <v>29</v>
      </c>
      <c r="E1874" t="s">
        <v>29</v>
      </c>
      <c r="F1874">
        <v>0</v>
      </c>
      <c r="G1874">
        <v>143.30000000000001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 x14ac:dyDescent="0.25">
      <c r="A1875" t="s">
        <v>61</v>
      </c>
      <c r="B1875">
        <v>110</v>
      </c>
      <c r="C1875">
        <v>415</v>
      </c>
      <c r="D1875" t="s">
        <v>29</v>
      </c>
      <c r="E1875" t="s">
        <v>29</v>
      </c>
      <c r="F1875">
        <v>0</v>
      </c>
      <c r="G1875">
        <v>271.10000000000002</v>
      </c>
      <c r="H1875">
        <v>108</v>
      </c>
      <c r="I1875">
        <v>46.09</v>
      </c>
      <c r="J1875">
        <v>237</v>
      </c>
      <c r="K1875">
        <v>122</v>
      </c>
      <c r="L1875">
        <v>20.149999999999999</v>
      </c>
      <c r="M1875">
        <v>239.9</v>
      </c>
      <c r="N1875">
        <v>122</v>
      </c>
      <c r="O1875">
        <v>10.8</v>
      </c>
      <c r="P1875">
        <v>9.8000000000000007</v>
      </c>
      <c r="Q1875">
        <v>5</v>
      </c>
      <c r="R1875">
        <v>2.65</v>
      </c>
      <c r="S1875">
        <v>2</v>
      </c>
      <c r="T1875" t="b">
        <v>1</v>
      </c>
    </row>
    <row r="1876" spans="1:20" x14ac:dyDescent="0.25">
      <c r="A1876" t="s">
        <v>47</v>
      </c>
      <c r="B1876">
        <v>124</v>
      </c>
      <c r="C1876">
        <v>415</v>
      </c>
      <c r="D1876" t="s">
        <v>29</v>
      </c>
      <c r="E1876" t="s">
        <v>29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 x14ac:dyDescent="0.25">
      <c r="A1877" t="s">
        <v>70</v>
      </c>
      <c r="B1877">
        <v>82</v>
      </c>
      <c r="C1877">
        <v>415</v>
      </c>
      <c r="D1877" t="s">
        <v>29</v>
      </c>
      <c r="E1877" t="s">
        <v>29</v>
      </c>
      <c r="F1877">
        <v>0</v>
      </c>
      <c r="G1877">
        <v>167.1</v>
      </c>
      <c r="H1877">
        <v>77</v>
      </c>
      <c r="I1877">
        <v>28.41</v>
      </c>
      <c r="J1877">
        <v>131.80000000000001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 x14ac:dyDescent="0.25">
      <c r="A1878" t="s">
        <v>34</v>
      </c>
      <c r="B1878">
        <v>137</v>
      </c>
      <c r="C1878">
        <v>415</v>
      </c>
      <c r="D1878" t="s">
        <v>29</v>
      </c>
      <c r="E1878" t="s">
        <v>29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 x14ac:dyDescent="0.25">
      <c r="A1879" t="s">
        <v>60</v>
      </c>
      <c r="B1879">
        <v>69</v>
      </c>
      <c r="C1879">
        <v>510</v>
      </c>
      <c r="D1879" t="s">
        <v>29</v>
      </c>
      <c r="E1879" t="s">
        <v>29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20.239999999999998</v>
      </c>
      <c r="M1879">
        <v>195.6</v>
      </c>
      <c r="N1879">
        <v>102</v>
      </c>
      <c r="O1879">
        <v>8.8000000000000007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 x14ac:dyDescent="0.25">
      <c r="A1880" t="s">
        <v>67</v>
      </c>
      <c r="B1880">
        <v>16</v>
      </c>
      <c r="C1880">
        <v>510</v>
      </c>
      <c r="D1880" t="s">
        <v>29</v>
      </c>
      <c r="E1880" t="s">
        <v>29</v>
      </c>
      <c r="F1880">
        <v>0</v>
      </c>
      <c r="G1880">
        <v>144.80000000000001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8.1999999999999993</v>
      </c>
      <c r="Q1880">
        <v>4</v>
      </c>
      <c r="R1880">
        <v>2.21</v>
      </c>
      <c r="S1880">
        <v>2</v>
      </c>
      <c r="T1880" t="b">
        <v>0</v>
      </c>
    </row>
    <row r="1881" spans="1:20" x14ac:dyDescent="0.25">
      <c r="A1881" t="s">
        <v>34</v>
      </c>
      <c r="B1881">
        <v>119</v>
      </c>
      <c r="C1881">
        <v>415</v>
      </c>
      <c r="D1881" t="s">
        <v>29</v>
      </c>
      <c r="E1881" t="s">
        <v>29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 x14ac:dyDescent="0.25">
      <c r="A1882" t="s">
        <v>66</v>
      </c>
      <c r="B1882">
        <v>124</v>
      </c>
      <c r="C1882">
        <v>510</v>
      </c>
      <c r="D1882" t="s">
        <v>30</v>
      </c>
      <c r="E1882" t="s">
        <v>29</v>
      </c>
      <c r="F1882">
        <v>0</v>
      </c>
      <c r="G1882">
        <v>157.80000000000001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 x14ac:dyDescent="0.25">
      <c r="A1883" t="s">
        <v>70</v>
      </c>
      <c r="B1883">
        <v>122</v>
      </c>
      <c r="C1883">
        <v>415</v>
      </c>
      <c r="D1883" t="s">
        <v>29</v>
      </c>
      <c r="E1883" t="s">
        <v>30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 x14ac:dyDescent="0.25">
      <c r="A1884" t="s">
        <v>55</v>
      </c>
      <c r="B1884">
        <v>139</v>
      </c>
      <c r="C1884">
        <v>415</v>
      </c>
      <c r="D1884" t="s">
        <v>29</v>
      </c>
      <c r="E1884" t="s">
        <v>29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149.80000000000001</v>
      </c>
      <c r="N1884">
        <v>64</v>
      </c>
      <c r="O1884">
        <v>6.74</v>
      </c>
      <c r="P1884">
        <v>8.3000000000000007</v>
      </c>
      <c r="Q1884">
        <v>6</v>
      </c>
      <c r="R1884">
        <v>2.2400000000000002</v>
      </c>
      <c r="S1884">
        <v>4</v>
      </c>
      <c r="T1884" t="b">
        <v>0</v>
      </c>
    </row>
    <row r="1885" spans="1:20" x14ac:dyDescent="0.25">
      <c r="A1885" t="s">
        <v>28</v>
      </c>
      <c r="B1885">
        <v>67</v>
      </c>
      <c r="C1885">
        <v>510</v>
      </c>
      <c r="D1885" t="s">
        <v>29</v>
      </c>
      <c r="E1885" t="s">
        <v>29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 x14ac:dyDescent="0.25">
      <c r="A1886" t="s">
        <v>37</v>
      </c>
      <c r="B1886">
        <v>84</v>
      </c>
      <c r="C1886">
        <v>408</v>
      </c>
      <c r="D1886" t="s">
        <v>29</v>
      </c>
      <c r="E1886" t="s">
        <v>29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4.4400000000000004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 x14ac:dyDescent="0.25">
      <c r="A1887" t="s">
        <v>41</v>
      </c>
      <c r="B1887">
        <v>101</v>
      </c>
      <c r="C1887">
        <v>510</v>
      </c>
      <c r="D1887" t="s">
        <v>29</v>
      </c>
      <c r="E1887" t="s">
        <v>30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 x14ac:dyDescent="0.25">
      <c r="A1888" t="s">
        <v>52</v>
      </c>
      <c r="B1888">
        <v>40</v>
      </c>
      <c r="C1888">
        <v>510</v>
      </c>
      <c r="D1888" t="s">
        <v>29</v>
      </c>
      <c r="E1888" t="s">
        <v>29</v>
      </c>
      <c r="F1888">
        <v>0</v>
      </c>
      <c r="G1888">
        <v>109.4</v>
      </c>
      <c r="H1888">
        <v>107</v>
      </c>
      <c r="I1888">
        <v>18.600000000000001</v>
      </c>
      <c r="J1888">
        <v>244.7</v>
      </c>
      <c r="K1888">
        <v>102</v>
      </c>
      <c r="L1888">
        <v>20.8</v>
      </c>
      <c r="M1888">
        <v>276.89999999999998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 x14ac:dyDescent="0.25">
      <c r="A1889" t="s">
        <v>74</v>
      </c>
      <c r="B1889">
        <v>61</v>
      </c>
      <c r="C1889">
        <v>415</v>
      </c>
      <c r="D1889" t="s">
        <v>29</v>
      </c>
      <c r="E1889" t="s">
        <v>29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10.199999999999999</v>
      </c>
      <c r="Q1889">
        <v>2</v>
      </c>
      <c r="R1889">
        <v>2.75</v>
      </c>
      <c r="S1889">
        <v>2</v>
      </c>
      <c r="T1889" t="b">
        <v>0</v>
      </c>
    </row>
    <row r="1890" spans="1:20" x14ac:dyDescent="0.25">
      <c r="A1890" t="s">
        <v>76</v>
      </c>
      <c r="B1890">
        <v>120</v>
      </c>
      <c r="C1890">
        <v>408</v>
      </c>
      <c r="D1890" t="s">
        <v>30</v>
      </c>
      <c r="E1890" t="s">
        <v>29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 x14ac:dyDescent="0.25">
      <c r="A1891" t="s">
        <v>62</v>
      </c>
      <c r="B1891">
        <v>95</v>
      </c>
      <c r="C1891">
        <v>415</v>
      </c>
      <c r="D1891" t="s">
        <v>29</v>
      </c>
      <c r="E1891" t="s">
        <v>29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4.7300000000000004</v>
      </c>
      <c r="P1891">
        <v>8.1999999999999993</v>
      </c>
      <c r="Q1891">
        <v>8</v>
      </c>
      <c r="R1891">
        <v>2.21</v>
      </c>
      <c r="S1891">
        <v>1</v>
      </c>
      <c r="T1891" t="b">
        <v>0</v>
      </c>
    </row>
    <row r="1892" spans="1:20" x14ac:dyDescent="0.25">
      <c r="A1892" t="s">
        <v>45</v>
      </c>
      <c r="B1892">
        <v>98</v>
      </c>
      <c r="C1892">
        <v>408</v>
      </c>
      <c r="D1892" t="s">
        <v>29</v>
      </c>
      <c r="E1892" t="s">
        <v>29</v>
      </c>
      <c r="F1892">
        <v>0</v>
      </c>
      <c r="G1892">
        <v>288.10000000000002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9.2899999999999991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 x14ac:dyDescent="0.25">
      <c r="A1893" t="s">
        <v>52</v>
      </c>
      <c r="B1893">
        <v>114</v>
      </c>
      <c r="C1893">
        <v>415</v>
      </c>
      <c r="D1893" t="s">
        <v>29</v>
      </c>
      <c r="E1893" t="s">
        <v>29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4.5999999999999996</v>
      </c>
      <c r="Q1893">
        <v>4</v>
      </c>
      <c r="R1893">
        <v>1.24</v>
      </c>
      <c r="S1893">
        <v>2</v>
      </c>
      <c r="T1893" t="b">
        <v>0</v>
      </c>
    </row>
    <row r="1894" spans="1:20" x14ac:dyDescent="0.25">
      <c r="A1894" t="s">
        <v>80</v>
      </c>
      <c r="B1894">
        <v>22</v>
      </c>
      <c r="C1894">
        <v>408</v>
      </c>
      <c r="D1894" t="s">
        <v>29</v>
      </c>
      <c r="E1894" t="s">
        <v>29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17.899999999999999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 x14ac:dyDescent="0.25">
      <c r="A1895" t="s">
        <v>77</v>
      </c>
      <c r="B1895">
        <v>176</v>
      </c>
      <c r="C1895">
        <v>415</v>
      </c>
      <c r="D1895" t="s">
        <v>29</v>
      </c>
      <c r="E1895" t="s">
        <v>29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2.5499999999999998</v>
      </c>
      <c r="P1895">
        <v>8.6999999999999993</v>
      </c>
      <c r="Q1895">
        <v>4</v>
      </c>
      <c r="R1895">
        <v>2.35</v>
      </c>
      <c r="S1895">
        <v>0</v>
      </c>
      <c r="T1895" t="b">
        <v>0</v>
      </c>
    </row>
    <row r="1896" spans="1:20" x14ac:dyDescent="0.25">
      <c r="A1896" t="s">
        <v>44</v>
      </c>
      <c r="B1896">
        <v>152</v>
      </c>
      <c r="C1896">
        <v>415</v>
      </c>
      <c r="D1896" t="s">
        <v>29</v>
      </c>
      <c r="E1896" t="s">
        <v>29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 x14ac:dyDescent="0.25">
      <c r="A1897" t="s">
        <v>43</v>
      </c>
      <c r="B1897">
        <v>118</v>
      </c>
      <c r="C1897">
        <v>408</v>
      </c>
      <c r="D1897" t="s">
        <v>29</v>
      </c>
      <c r="E1897" t="s">
        <v>29</v>
      </c>
      <c r="F1897">
        <v>0</v>
      </c>
      <c r="G1897">
        <v>154.80000000000001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 x14ac:dyDescent="0.25">
      <c r="A1898" t="s">
        <v>36</v>
      </c>
      <c r="B1898">
        <v>101</v>
      </c>
      <c r="C1898">
        <v>415</v>
      </c>
      <c r="D1898" t="s">
        <v>30</v>
      </c>
      <c r="E1898" t="s">
        <v>29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18.670000000000002</v>
      </c>
      <c r="M1898">
        <v>210</v>
      </c>
      <c r="N1898">
        <v>74</v>
      </c>
      <c r="O1898">
        <v>9.4499999999999993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 x14ac:dyDescent="0.25">
      <c r="A1899" t="s">
        <v>79</v>
      </c>
      <c r="B1899">
        <v>118</v>
      </c>
      <c r="C1899">
        <v>408</v>
      </c>
      <c r="D1899" t="s">
        <v>29</v>
      </c>
      <c r="E1899" t="s">
        <v>29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 x14ac:dyDescent="0.25">
      <c r="A1900" t="s">
        <v>45</v>
      </c>
      <c r="B1900">
        <v>105</v>
      </c>
      <c r="C1900">
        <v>415</v>
      </c>
      <c r="D1900" t="s">
        <v>29</v>
      </c>
      <c r="E1900" t="s">
        <v>29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269.10000000000002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 x14ac:dyDescent="0.25">
      <c r="A1901" t="s">
        <v>71</v>
      </c>
      <c r="B1901">
        <v>71</v>
      </c>
      <c r="C1901">
        <v>415</v>
      </c>
      <c r="D1901" t="s">
        <v>29</v>
      </c>
      <c r="E1901" t="s">
        <v>29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 x14ac:dyDescent="0.25">
      <c r="A1902" t="s">
        <v>55</v>
      </c>
      <c r="B1902">
        <v>71</v>
      </c>
      <c r="C1902">
        <v>415</v>
      </c>
      <c r="D1902" t="s">
        <v>29</v>
      </c>
      <c r="E1902" t="s">
        <v>30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 x14ac:dyDescent="0.25">
      <c r="A1903" t="s">
        <v>60</v>
      </c>
      <c r="B1903">
        <v>68</v>
      </c>
      <c r="C1903">
        <v>415</v>
      </c>
      <c r="D1903" t="s">
        <v>29</v>
      </c>
      <c r="E1903" t="s">
        <v>29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 x14ac:dyDescent="0.25">
      <c r="A1904" t="s">
        <v>35</v>
      </c>
      <c r="B1904">
        <v>66</v>
      </c>
      <c r="C1904">
        <v>415</v>
      </c>
      <c r="D1904" t="s">
        <v>29</v>
      </c>
      <c r="E1904" t="s">
        <v>29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8.1300000000000008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 x14ac:dyDescent="0.25">
      <c r="A1905" t="s">
        <v>79</v>
      </c>
      <c r="B1905">
        <v>101</v>
      </c>
      <c r="C1905">
        <v>415</v>
      </c>
      <c r="D1905" t="s">
        <v>29</v>
      </c>
      <c r="E1905" t="s">
        <v>29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19.690000000000001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 x14ac:dyDescent="0.25">
      <c r="A1906" t="s">
        <v>42</v>
      </c>
      <c r="B1906">
        <v>116</v>
      </c>
      <c r="C1906">
        <v>415</v>
      </c>
      <c r="D1906" t="s">
        <v>29</v>
      </c>
      <c r="E1906" t="s">
        <v>29</v>
      </c>
      <c r="F1906">
        <v>0</v>
      </c>
      <c r="G1906">
        <v>129.4</v>
      </c>
      <c r="H1906">
        <v>84</v>
      </c>
      <c r="I1906">
        <v>22</v>
      </c>
      <c r="J1906">
        <v>157.30000000000001</v>
      </c>
      <c r="K1906">
        <v>89</v>
      </c>
      <c r="L1906">
        <v>13.37</v>
      </c>
      <c r="M1906">
        <v>215.5</v>
      </c>
      <c r="N1906">
        <v>77</v>
      </c>
      <c r="O1906">
        <v>9.6999999999999993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 x14ac:dyDescent="0.25">
      <c r="A1907" t="s">
        <v>80</v>
      </c>
      <c r="B1907">
        <v>54</v>
      </c>
      <c r="C1907">
        <v>415</v>
      </c>
      <c r="D1907" t="s">
        <v>29</v>
      </c>
      <c r="E1907" t="s">
        <v>30</v>
      </c>
      <c r="F1907">
        <v>33</v>
      </c>
      <c r="G1907">
        <v>161.80000000000001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 x14ac:dyDescent="0.25">
      <c r="A1908" t="s">
        <v>43</v>
      </c>
      <c r="B1908">
        <v>112</v>
      </c>
      <c r="C1908">
        <v>408</v>
      </c>
      <c r="D1908" t="s">
        <v>29</v>
      </c>
      <c r="E1908" t="s">
        <v>30</v>
      </c>
      <c r="F1908">
        <v>29</v>
      </c>
      <c r="G1908">
        <v>198.8</v>
      </c>
      <c r="H1908">
        <v>122</v>
      </c>
      <c r="I1908">
        <v>33.799999999999997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 x14ac:dyDescent="0.25">
      <c r="A1909" t="s">
        <v>73</v>
      </c>
      <c r="B1909">
        <v>122</v>
      </c>
      <c r="C1909">
        <v>408</v>
      </c>
      <c r="D1909" t="s">
        <v>29</v>
      </c>
      <c r="E1909" t="s">
        <v>30</v>
      </c>
      <c r="F1909">
        <v>45</v>
      </c>
      <c r="G1909">
        <v>147.80000000000001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 x14ac:dyDescent="0.25">
      <c r="A1910" t="s">
        <v>54</v>
      </c>
      <c r="B1910">
        <v>74</v>
      </c>
      <c r="C1910">
        <v>415</v>
      </c>
      <c r="D1910" t="s">
        <v>29</v>
      </c>
      <c r="E1910" t="s">
        <v>29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 x14ac:dyDescent="0.25">
      <c r="A1911" t="s">
        <v>49</v>
      </c>
      <c r="B1911">
        <v>90</v>
      </c>
      <c r="C1911">
        <v>415</v>
      </c>
      <c r="D1911" t="s">
        <v>29</v>
      </c>
      <c r="E1911" t="s">
        <v>29</v>
      </c>
      <c r="F1911">
        <v>0</v>
      </c>
      <c r="G1911">
        <v>246.4</v>
      </c>
      <c r="H1911">
        <v>83</v>
      </c>
      <c r="I1911">
        <v>41.89</v>
      </c>
      <c r="J1911">
        <v>160.30000000000001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2.0499999999999998</v>
      </c>
      <c r="S1911">
        <v>1</v>
      </c>
      <c r="T1911" t="b">
        <v>0</v>
      </c>
    </row>
    <row r="1912" spans="1:20" x14ac:dyDescent="0.25">
      <c r="A1912" t="s">
        <v>70</v>
      </c>
      <c r="B1912">
        <v>112</v>
      </c>
      <c r="C1912">
        <v>415</v>
      </c>
      <c r="D1912" t="s">
        <v>29</v>
      </c>
      <c r="E1912" t="s">
        <v>29</v>
      </c>
      <c r="F1912">
        <v>0</v>
      </c>
      <c r="G1912">
        <v>174.3</v>
      </c>
      <c r="H1912">
        <v>123</v>
      </c>
      <c r="I1912">
        <v>29.63</v>
      </c>
      <c r="J1912">
        <v>140.19999999999999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2.4300000000000002</v>
      </c>
      <c r="S1912">
        <v>4</v>
      </c>
      <c r="T1912" t="b">
        <v>1</v>
      </c>
    </row>
    <row r="1913" spans="1:20" x14ac:dyDescent="0.25">
      <c r="A1913" t="s">
        <v>64</v>
      </c>
      <c r="B1913">
        <v>85</v>
      </c>
      <c r="C1913">
        <v>510</v>
      </c>
      <c r="D1913" t="s">
        <v>29</v>
      </c>
      <c r="E1913" t="s">
        <v>29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 x14ac:dyDescent="0.25">
      <c r="A1914" t="s">
        <v>50</v>
      </c>
      <c r="B1914">
        <v>100</v>
      </c>
      <c r="C1914">
        <v>415</v>
      </c>
      <c r="D1914" t="s">
        <v>29</v>
      </c>
      <c r="E1914" t="s">
        <v>29</v>
      </c>
      <c r="F1914">
        <v>0</v>
      </c>
      <c r="G1914">
        <v>191.9</v>
      </c>
      <c r="H1914">
        <v>95</v>
      </c>
      <c r="I1914">
        <v>32.619999999999997</v>
      </c>
      <c r="J1914">
        <v>200.9</v>
      </c>
      <c r="K1914">
        <v>101</v>
      </c>
      <c r="L1914">
        <v>17.079999999999998</v>
      </c>
      <c r="M1914">
        <v>271.89999999999998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 x14ac:dyDescent="0.25">
      <c r="A1915" t="s">
        <v>31</v>
      </c>
      <c r="B1915">
        <v>114</v>
      </c>
      <c r="C1915">
        <v>415</v>
      </c>
      <c r="D1915" t="s">
        <v>29</v>
      </c>
      <c r="E1915" t="s">
        <v>29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9.6300000000000008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 x14ac:dyDescent="0.25">
      <c r="A1916" t="s">
        <v>38</v>
      </c>
      <c r="B1916">
        <v>83</v>
      </c>
      <c r="C1916">
        <v>510</v>
      </c>
      <c r="D1916" t="s">
        <v>29</v>
      </c>
      <c r="E1916" t="s">
        <v>29</v>
      </c>
      <c r="F1916">
        <v>0</v>
      </c>
      <c r="G1916">
        <v>259.7</v>
      </c>
      <c r="H1916">
        <v>106</v>
      </c>
      <c r="I1916">
        <v>44.15</v>
      </c>
      <c r="J1916">
        <v>152.69999999999999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10.199999999999999</v>
      </c>
      <c r="Q1916">
        <v>2</v>
      </c>
      <c r="R1916">
        <v>2.75</v>
      </c>
      <c r="S1916">
        <v>0</v>
      </c>
      <c r="T1916" t="b">
        <v>0</v>
      </c>
    </row>
    <row r="1917" spans="1:20" x14ac:dyDescent="0.25">
      <c r="A1917" t="s">
        <v>49</v>
      </c>
      <c r="B1917">
        <v>157</v>
      </c>
      <c r="C1917">
        <v>415</v>
      </c>
      <c r="D1917" t="s">
        <v>30</v>
      </c>
      <c r="E1917" t="s">
        <v>29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16.489999999999998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 x14ac:dyDescent="0.25">
      <c r="A1918" t="s">
        <v>58</v>
      </c>
      <c r="B1918">
        <v>51</v>
      </c>
      <c r="C1918">
        <v>510</v>
      </c>
      <c r="D1918" t="s">
        <v>29</v>
      </c>
      <c r="E1918" t="s">
        <v>29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 x14ac:dyDescent="0.25">
      <c r="A1919" t="s">
        <v>68</v>
      </c>
      <c r="B1919">
        <v>42</v>
      </c>
      <c r="C1919">
        <v>415</v>
      </c>
      <c r="D1919" t="s">
        <v>29</v>
      </c>
      <c r="E1919" t="s">
        <v>29</v>
      </c>
      <c r="F1919">
        <v>0</v>
      </c>
      <c r="G1919">
        <v>303.89999999999998</v>
      </c>
      <c r="H1919">
        <v>106</v>
      </c>
      <c r="I1919">
        <v>51.66</v>
      </c>
      <c r="J1919">
        <v>232.2</v>
      </c>
      <c r="K1919">
        <v>54</v>
      </c>
      <c r="L1919">
        <v>19.739999999999998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 x14ac:dyDescent="0.25">
      <c r="A1920" t="s">
        <v>79</v>
      </c>
      <c r="B1920">
        <v>101</v>
      </c>
      <c r="C1920">
        <v>415</v>
      </c>
      <c r="D1920" t="s">
        <v>29</v>
      </c>
      <c r="E1920" t="s">
        <v>30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8.8000000000000007</v>
      </c>
      <c r="Q1920">
        <v>4</v>
      </c>
      <c r="R1920">
        <v>2.38</v>
      </c>
      <c r="S1920">
        <v>1</v>
      </c>
      <c r="T1920" t="b">
        <v>1</v>
      </c>
    </row>
    <row r="1921" spans="1:20" x14ac:dyDescent="0.25">
      <c r="A1921" t="s">
        <v>58</v>
      </c>
      <c r="B1921">
        <v>112</v>
      </c>
      <c r="C1921">
        <v>510</v>
      </c>
      <c r="D1921" t="s">
        <v>29</v>
      </c>
      <c r="E1921" t="s">
        <v>29</v>
      </c>
      <c r="F1921">
        <v>0</v>
      </c>
      <c r="G1921">
        <v>206.2</v>
      </c>
      <c r="H1921">
        <v>122</v>
      </c>
      <c r="I1921">
        <v>35.049999999999997</v>
      </c>
      <c r="J1921">
        <v>164.5</v>
      </c>
      <c r="K1921">
        <v>94</v>
      </c>
      <c r="L1921">
        <v>13.98</v>
      </c>
      <c r="M1921">
        <v>140.30000000000001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 x14ac:dyDescent="0.25">
      <c r="A1922" t="s">
        <v>79</v>
      </c>
      <c r="B1922">
        <v>56</v>
      </c>
      <c r="C1922">
        <v>510</v>
      </c>
      <c r="D1922" t="s">
        <v>29</v>
      </c>
      <c r="E1922" t="s">
        <v>29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 x14ac:dyDescent="0.25">
      <c r="A1923" t="s">
        <v>32</v>
      </c>
      <c r="B1923">
        <v>53</v>
      </c>
      <c r="C1923">
        <v>408</v>
      </c>
      <c r="D1923" t="s">
        <v>29</v>
      </c>
      <c r="E1923" t="s">
        <v>29</v>
      </c>
      <c r="F1923">
        <v>0</v>
      </c>
      <c r="G1923">
        <v>228.6</v>
      </c>
      <c r="H1923">
        <v>117</v>
      </c>
      <c r="I1923">
        <v>38.86</v>
      </c>
      <c r="J1923">
        <v>132.80000000000001</v>
      </c>
      <c r="K1923">
        <v>123</v>
      </c>
      <c r="L1923">
        <v>11.29</v>
      </c>
      <c r="M1923">
        <v>227.2</v>
      </c>
      <c r="N1923">
        <v>124</v>
      </c>
      <c r="O1923">
        <v>10.220000000000001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 x14ac:dyDescent="0.25">
      <c r="A1924" t="s">
        <v>37</v>
      </c>
      <c r="B1924">
        <v>64</v>
      </c>
      <c r="C1924">
        <v>415</v>
      </c>
      <c r="D1924" t="s">
        <v>29</v>
      </c>
      <c r="E1924" t="s">
        <v>30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2.0499999999999998</v>
      </c>
      <c r="S1924">
        <v>1</v>
      </c>
      <c r="T1924" t="b">
        <v>0</v>
      </c>
    </row>
    <row r="1925" spans="1:20" x14ac:dyDescent="0.25">
      <c r="A1925" t="s">
        <v>43</v>
      </c>
      <c r="B1925">
        <v>123</v>
      </c>
      <c r="C1925">
        <v>408</v>
      </c>
      <c r="D1925" t="s">
        <v>29</v>
      </c>
      <c r="E1925" t="s">
        <v>29</v>
      </c>
      <c r="F1925">
        <v>0</v>
      </c>
      <c r="G1925">
        <v>154.30000000000001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2.4300000000000002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 x14ac:dyDescent="0.25">
      <c r="A1926" t="s">
        <v>41</v>
      </c>
      <c r="B1926">
        <v>68</v>
      </c>
      <c r="C1926">
        <v>510</v>
      </c>
      <c r="D1926" t="s">
        <v>29</v>
      </c>
      <c r="E1926" t="s">
        <v>30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19.850000000000001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 x14ac:dyDescent="0.25">
      <c r="A1927" t="s">
        <v>80</v>
      </c>
      <c r="B1927">
        <v>40</v>
      </c>
      <c r="C1927">
        <v>510</v>
      </c>
      <c r="D1927" t="s">
        <v>30</v>
      </c>
      <c r="E1927" t="s">
        <v>29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 x14ac:dyDescent="0.25">
      <c r="A1928" t="s">
        <v>67</v>
      </c>
      <c r="B1928">
        <v>132</v>
      </c>
      <c r="C1928">
        <v>408</v>
      </c>
      <c r="D1928" t="s">
        <v>29</v>
      </c>
      <c r="E1928" t="s">
        <v>29</v>
      </c>
      <c r="F1928">
        <v>0</v>
      </c>
      <c r="G1928">
        <v>214.6</v>
      </c>
      <c r="H1928">
        <v>78</v>
      </c>
      <c r="I1928">
        <v>36.479999999999997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 x14ac:dyDescent="0.25">
      <c r="A1929" t="s">
        <v>80</v>
      </c>
      <c r="B1929">
        <v>120</v>
      </c>
      <c r="C1929">
        <v>408</v>
      </c>
      <c r="D1929" t="s">
        <v>30</v>
      </c>
      <c r="E1929" t="s">
        <v>29</v>
      </c>
      <c r="F1929">
        <v>0</v>
      </c>
      <c r="G1929">
        <v>202</v>
      </c>
      <c r="H1929">
        <v>123</v>
      </c>
      <c r="I1929">
        <v>34.340000000000003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 x14ac:dyDescent="0.25">
      <c r="A1930" t="s">
        <v>74</v>
      </c>
      <c r="B1930">
        <v>108</v>
      </c>
      <c r="C1930">
        <v>408</v>
      </c>
      <c r="D1930" t="s">
        <v>29</v>
      </c>
      <c r="E1930" t="s">
        <v>30</v>
      </c>
      <c r="F1930">
        <v>32</v>
      </c>
      <c r="G1930">
        <v>209.5</v>
      </c>
      <c r="H1930">
        <v>108</v>
      </c>
      <c r="I1930">
        <v>35.619999999999997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8.5399999999999991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 x14ac:dyDescent="0.25">
      <c r="A1931" t="s">
        <v>75</v>
      </c>
      <c r="B1931">
        <v>161</v>
      </c>
      <c r="C1931">
        <v>510</v>
      </c>
      <c r="D1931" t="s">
        <v>29</v>
      </c>
      <c r="E1931" t="s">
        <v>29</v>
      </c>
      <c r="F1931">
        <v>0</v>
      </c>
      <c r="G1931">
        <v>297.89999999999998</v>
      </c>
      <c r="H1931">
        <v>141</v>
      </c>
      <c r="I1931">
        <v>50.64</v>
      </c>
      <c r="J1931">
        <v>238.1</v>
      </c>
      <c r="K1931">
        <v>107</v>
      </c>
      <c r="L1931">
        <v>20.239999999999998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 x14ac:dyDescent="0.25">
      <c r="A1932" t="s">
        <v>75</v>
      </c>
      <c r="B1932">
        <v>130</v>
      </c>
      <c r="C1932">
        <v>415</v>
      </c>
      <c r="D1932" t="s">
        <v>29</v>
      </c>
      <c r="E1932" t="s">
        <v>29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 x14ac:dyDescent="0.25">
      <c r="A1933" t="s">
        <v>40</v>
      </c>
      <c r="B1933">
        <v>130</v>
      </c>
      <c r="C1933">
        <v>408</v>
      </c>
      <c r="D1933" t="s">
        <v>29</v>
      </c>
      <c r="E1933" t="s">
        <v>30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 x14ac:dyDescent="0.25">
      <c r="A1934" t="s">
        <v>49</v>
      </c>
      <c r="B1934">
        <v>90</v>
      </c>
      <c r="C1934">
        <v>510</v>
      </c>
      <c r="D1934" t="s">
        <v>29</v>
      </c>
      <c r="E1934" t="s">
        <v>29</v>
      </c>
      <c r="F1934">
        <v>0</v>
      </c>
      <c r="G1934">
        <v>125.4</v>
      </c>
      <c r="H1934">
        <v>158</v>
      </c>
      <c r="I1934">
        <v>21.32</v>
      </c>
      <c r="J1934">
        <v>269.10000000000002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 x14ac:dyDescent="0.25">
      <c r="A1935" t="s">
        <v>48</v>
      </c>
      <c r="B1935">
        <v>139</v>
      </c>
      <c r="C1935">
        <v>415</v>
      </c>
      <c r="D1935" t="s">
        <v>29</v>
      </c>
      <c r="E1935" t="s">
        <v>30</v>
      </c>
      <c r="F1935">
        <v>25</v>
      </c>
      <c r="G1935">
        <v>138.30000000000001</v>
      </c>
      <c r="H1935">
        <v>96</v>
      </c>
      <c r="I1935">
        <v>23.51</v>
      </c>
      <c r="J1935">
        <v>80.599999999999994</v>
      </c>
      <c r="K1935">
        <v>79</v>
      </c>
      <c r="L1935">
        <v>6.85</v>
      </c>
      <c r="M1935">
        <v>163.69999999999999</v>
      </c>
      <c r="N1935">
        <v>83</v>
      </c>
      <c r="O1935">
        <v>7.37</v>
      </c>
      <c r="P1935">
        <v>8.3000000000000007</v>
      </c>
      <c r="Q1935">
        <v>8</v>
      </c>
      <c r="R1935">
        <v>2.2400000000000002</v>
      </c>
      <c r="S1935">
        <v>0</v>
      </c>
      <c r="T1935" t="b">
        <v>0</v>
      </c>
    </row>
    <row r="1936" spans="1:20" x14ac:dyDescent="0.25">
      <c r="A1936" t="s">
        <v>60</v>
      </c>
      <c r="B1936">
        <v>57</v>
      </c>
      <c r="C1936">
        <v>415</v>
      </c>
      <c r="D1936" t="s">
        <v>29</v>
      </c>
      <c r="E1936" t="s">
        <v>29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 x14ac:dyDescent="0.25">
      <c r="A1937" t="s">
        <v>46</v>
      </c>
      <c r="B1937">
        <v>128</v>
      </c>
      <c r="C1937">
        <v>510</v>
      </c>
      <c r="D1937" t="s">
        <v>29</v>
      </c>
      <c r="E1937" t="s">
        <v>29</v>
      </c>
      <c r="F1937">
        <v>0</v>
      </c>
      <c r="G1937">
        <v>199.3</v>
      </c>
      <c r="H1937">
        <v>86</v>
      </c>
      <c r="I1937">
        <v>33.880000000000003</v>
      </c>
      <c r="J1937">
        <v>194.8</v>
      </c>
      <c r="K1937">
        <v>102</v>
      </c>
      <c r="L1937">
        <v>16.559999999999999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 x14ac:dyDescent="0.25">
      <c r="A1938" t="s">
        <v>55</v>
      </c>
      <c r="B1938">
        <v>107</v>
      </c>
      <c r="C1938">
        <v>415</v>
      </c>
      <c r="D1938" t="s">
        <v>29</v>
      </c>
      <c r="E1938" t="s">
        <v>29</v>
      </c>
      <c r="F1938">
        <v>0</v>
      </c>
      <c r="G1938">
        <v>294.89999999999998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 x14ac:dyDescent="0.25">
      <c r="A1939" t="s">
        <v>33</v>
      </c>
      <c r="B1939">
        <v>177</v>
      </c>
      <c r="C1939">
        <v>408</v>
      </c>
      <c r="D1939" t="s">
        <v>29</v>
      </c>
      <c r="E1939" t="s">
        <v>29</v>
      </c>
      <c r="F1939">
        <v>0</v>
      </c>
      <c r="G1939">
        <v>175.4</v>
      </c>
      <c r="H1939">
        <v>99</v>
      </c>
      <c r="I1939">
        <v>29.82</v>
      </c>
      <c r="J1939">
        <v>155.30000000000001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 x14ac:dyDescent="0.25">
      <c r="A1940" t="s">
        <v>63</v>
      </c>
      <c r="B1940">
        <v>121</v>
      </c>
      <c r="C1940">
        <v>415</v>
      </c>
      <c r="D1940" t="s">
        <v>29</v>
      </c>
      <c r="E1940" t="s">
        <v>29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 x14ac:dyDescent="0.25">
      <c r="A1941" t="s">
        <v>75</v>
      </c>
      <c r="B1941">
        <v>99</v>
      </c>
      <c r="C1941">
        <v>510</v>
      </c>
      <c r="D1941" t="s">
        <v>30</v>
      </c>
      <c r="E1941" t="s">
        <v>30</v>
      </c>
      <c r="F1941">
        <v>39</v>
      </c>
      <c r="G1941">
        <v>126.8</v>
      </c>
      <c r="H1941">
        <v>94</v>
      </c>
      <c r="I1941">
        <v>21.56</v>
      </c>
      <c r="J1941">
        <v>293.60000000000002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 x14ac:dyDescent="0.25">
      <c r="A1942" t="s">
        <v>70</v>
      </c>
      <c r="B1942">
        <v>77</v>
      </c>
      <c r="C1942">
        <v>415</v>
      </c>
      <c r="D1942" t="s">
        <v>29</v>
      </c>
      <c r="E1942" t="s">
        <v>30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 x14ac:dyDescent="0.25">
      <c r="A1943" t="s">
        <v>37</v>
      </c>
      <c r="B1943">
        <v>21</v>
      </c>
      <c r="C1943">
        <v>415</v>
      </c>
      <c r="D1943" t="s">
        <v>29</v>
      </c>
      <c r="E1943" t="s">
        <v>29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 x14ac:dyDescent="0.25">
      <c r="A1944" t="s">
        <v>65</v>
      </c>
      <c r="B1944">
        <v>56</v>
      </c>
      <c r="C1944">
        <v>408</v>
      </c>
      <c r="D1944" t="s">
        <v>29</v>
      </c>
      <c r="E1944" t="s">
        <v>29</v>
      </c>
      <c r="F1944">
        <v>0</v>
      </c>
      <c r="G1944">
        <v>210.4</v>
      </c>
      <c r="H1944">
        <v>80</v>
      </c>
      <c r="I1944">
        <v>35.770000000000003</v>
      </c>
      <c r="J1944">
        <v>176.6</v>
      </c>
      <c r="K1944">
        <v>96</v>
      </c>
      <c r="L1944">
        <v>15.01</v>
      </c>
      <c r="M1944">
        <v>149.69999999999999</v>
      </c>
      <c r="N1944">
        <v>56</v>
      </c>
      <c r="O1944">
        <v>6.74</v>
      </c>
      <c r="P1944">
        <v>15.5</v>
      </c>
      <c r="Q1944">
        <v>4</v>
      </c>
      <c r="R1944">
        <v>4.1900000000000004</v>
      </c>
      <c r="S1944">
        <v>1</v>
      </c>
      <c r="T1944" t="b">
        <v>0</v>
      </c>
    </row>
    <row r="1945" spans="1:20" x14ac:dyDescent="0.25">
      <c r="A1945" t="s">
        <v>41</v>
      </c>
      <c r="B1945">
        <v>92</v>
      </c>
      <c r="C1945">
        <v>415</v>
      </c>
      <c r="D1945" t="s">
        <v>29</v>
      </c>
      <c r="E1945" t="s">
        <v>30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17.309999999999999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 x14ac:dyDescent="0.25">
      <c r="A1946" t="s">
        <v>66</v>
      </c>
      <c r="B1946">
        <v>81</v>
      </c>
      <c r="C1946">
        <v>510</v>
      </c>
      <c r="D1946" t="s">
        <v>29</v>
      </c>
      <c r="E1946" t="s">
        <v>29</v>
      </c>
      <c r="F1946">
        <v>0</v>
      </c>
      <c r="G1946">
        <v>145.6</v>
      </c>
      <c r="H1946">
        <v>59</v>
      </c>
      <c r="I1946">
        <v>24.75</v>
      </c>
      <c r="J1946">
        <v>287.89999999999998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9.1999999999999993</v>
      </c>
      <c r="Q1946">
        <v>4</v>
      </c>
      <c r="R1946">
        <v>2.48</v>
      </c>
      <c r="S1946">
        <v>2</v>
      </c>
      <c r="T1946" t="b">
        <v>0</v>
      </c>
    </row>
    <row r="1947" spans="1:20" x14ac:dyDescent="0.25">
      <c r="A1947" t="s">
        <v>44</v>
      </c>
      <c r="B1947">
        <v>139</v>
      </c>
      <c r="C1947">
        <v>510</v>
      </c>
      <c r="D1947" t="s">
        <v>30</v>
      </c>
      <c r="E1947" t="s">
        <v>30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9.6300000000000008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 x14ac:dyDescent="0.25">
      <c r="A1948" t="s">
        <v>47</v>
      </c>
      <c r="B1948">
        <v>68</v>
      </c>
      <c r="C1948">
        <v>415</v>
      </c>
      <c r="D1948" t="s">
        <v>29</v>
      </c>
      <c r="E1948" t="s">
        <v>29</v>
      </c>
      <c r="F1948">
        <v>0</v>
      </c>
      <c r="G1948">
        <v>232.4</v>
      </c>
      <c r="H1948">
        <v>76</v>
      </c>
      <c r="I1948">
        <v>39.51</v>
      </c>
      <c r="J1948">
        <v>153.30000000000001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 x14ac:dyDescent="0.25">
      <c r="A1949" t="s">
        <v>59</v>
      </c>
      <c r="B1949">
        <v>183</v>
      </c>
      <c r="C1949">
        <v>415</v>
      </c>
      <c r="D1949" t="s">
        <v>29</v>
      </c>
      <c r="E1949" t="s">
        <v>30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8.1199999999999992</v>
      </c>
      <c r="P1949">
        <v>8.6999999999999993</v>
      </c>
      <c r="Q1949">
        <v>2</v>
      </c>
      <c r="R1949">
        <v>2.35</v>
      </c>
      <c r="S1949">
        <v>2</v>
      </c>
      <c r="T1949" t="b">
        <v>0</v>
      </c>
    </row>
    <row r="1950" spans="1:20" x14ac:dyDescent="0.25">
      <c r="A1950" t="s">
        <v>57</v>
      </c>
      <c r="B1950">
        <v>165</v>
      </c>
      <c r="C1950">
        <v>408</v>
      </c>
      <c r="D1950" t="s">
        <v>29</v>
      </c>
      <c r="E1950" t="s">
        <v>29</v>
      </c>
      <c r="F1950">
        <v>0</v>
      </c>
      <c r="G1950">
        <v>156</v>
      </c>
      <c r="H1950">
        <v>88</v>
      </c>
      <c r="I1950">
        <v>26.52</v>
      </c>
      <c r="J1950">
        <v>276.10000000000002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9.3000000000000007</v>
      </c>
      <c r="Q1950">
        <v>5</v>
      </c>
      <c r="R1950">
        <v>2.5099999999999998</v>
      </c>
      <c r="S1950">
        <v>1</v>
      </c>
      <c r="T1950" t="b">
        <v>0</v>
      </c>
    </row>
    <row r="1951" spans="1:20" x14ac:dyDescent="0.25">
      <c r="A1951" t="s">
        <v>57</v>
      </c>
      <c r="B1951">
        <v>89</v>
      </c>
      <c r="C1951">
        <v>415</v>
      </c>
      <c r="D1951" t="s">
        <v>29</v>
      </c>
      <c r="E1951" t="s">
        <v>29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2.0299999999999998</v>
      </c>
      <c r="S1951">
        <v>1</v>
      </c>
      <c r="T1951" t="b">
        <v>1</v>
      </c>
    </row>
    <row r="1952" spans="1:20" x14ac:dyDescent="0.25">
      <c r="A1952" t="s">
        <v>32</v>
      </c>
      <c r="B1952">
        <v>59</v>
      </c>
      <c r="C1952">
        <v>510</v>
      </c>
      <c r="D1952" t="s">
        <v>29</v>
      </c>
      <c r="E1952" t="s">
        <v>29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 x14ac:dyDescent="0.25">
      <c r="A1953" t="s">
        <v>50</v>
      </c>
      <c r="B1953">
        <v>16</v>
      </c>
      <c r="C1953">
        <v>415</v>
      </c>
      <c r="D1953" t="s">
        <v>30</v>
      </c>
      <c r="E1953" t="s">
        <v>29</v>
      </c>
      <c r="F1953">
        <v>0</v>
      </c>
      <c r="G1953">
        <v>110</v>
      </c>
      <c r="H1953">
        <v>91</v>
      </c>
      <c r="I1953">
        <v>18.7</v>
      </c>
      <c r="J1953">
        <v>147.30000000000001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 x14ac:dyDescent="0.25">
      <c r="A1954" t="s">
        <v>69</v>
      </c>
      <c r="B1954">
        <v>114</v>
      </c>
      <c r="C1954">
        <v>415</v>
      </c>
      <c r="D1954" t="s">
        <v>29</v>
      </c>
      <c r="E1954" t="s">
        <v>29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275.89999999999998</v>
      </c>
      <c r="N1954">
        <v>106</v>
      </c>
      <c r="O1954">
        <v>12.42</v>
      </c>
      <c r="P1954">
        <v>9</v>
      </c>
      <c r="Q1954">
        <v>3</v>
      </c>
      <c r="R1954">
        <v>2.4300000000000002</v>
      </c>
      <c r="S1954">
        <v>5</v>
      </c>
      <c r="T1954" t="b">
        <v>1</v>
      </c>
    </row>
    <row r="1955" spans="1:20" x14ac:dyDescent="0.25">
      <c r="A1955" t="s">
        <v>39</v>
      </c>
      <c r="B1955">
        <v>113</v>
      </c>
      <c r="C1955">
        <v>510</v>
      </c>
      <c r="D1955" t="s">
        <v>29</v>
      </c>
      <c r="E1955" t="s">
        <v>29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 x14ac:dyDescent="0.25">
      <c r="A1956" t="s">
        <v>53</v>
      </c>
      <c r="B1956">
        <v>120</v>
      </c>
      <c r="C1956">
        <v>408</v>
      </c>
      <c r="D1956" t="s">
        <v>29</v>
      </c>
      <c r="E1956" t="s">
        <v>29</v>
      </c>
      <c r="F1956">
        <v>0</v>
      </c>
      <c r="G1956">
        <v>98.2</v>
      </c>
      <c r="H1956">
        <v>99</v>
      </c>
      <c r="I1956">
        <v>16.690000000000001</v>
      </c>
      <c r="J1956">
        <v>186.7</v>
      </c>
      <c r="K1956">
        <v>85</v>
      </c>
      <c r="L1956">
        <v>15.87</v>
      </c>
      <c r="M1956">
        <v>146.69999999999999</v>
      </c>
      <c r="N1956">
        <v>96</v>
      </c>
      <c r="O1956">
        <v>6.6</v>
      </c>
      <c r="P1956">
        <v>9.3000000000000007</v>
      </c>
      <c r="Q1956">
        <v>4</v>
      </c>
      <c r="R1956">
        <v>2.5099999999999998</v>
      </c>
      <c r="S1956">
        <v>2</v>
      </c>
      <c r="T1956" t="b">
        <v>0</v>
      </c>
    </row>
    <row r="1957" spans="1:20" x14ac:dyDescent="0.25">
      <c r="A1957" t="s">
        <v>54</v>
      </c>
      <c r="B1957">
        <v>115</v>
      </c>
      <c r="C1957">
        <v>415</v>
      </c>
      <c r="D1957" t="s">
        <v>29</v>
      </c>
      <c r="E1957" t="s">
        <v>29</v>
      </c>
      <c r="F1957">
        <v>0</v>
      </c>
      <c r="G1957">
        <v>210.6</v>
      </c>
      <c r="H1957">
        <v>120</v>
      </c>
      <c r="I1957">
        <v>35.799999999999997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 x14ac:dyDescent="0.25">
      <c r="A1958" t="s">
        <v>66</v>
      </c>
      <c r="B1958">
        <v>100</v>
      </c>
      <c r="C1958">
        <v>415</v>
      </c>
      <c r="D1958" t="s">
        <v>30</v>
      </c>
      <c r="E1958" t="s">
        <v>29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 x14ac:dyDescent="0.25">
      <c r="A1959" t="s">
        <v>75</v>
      </c>
      <c r="B1959">
        <v>1</v>
      </c>
      <c r="C1959">
        <v>408</v>
      </c>
      <c r="D1959" t="s">
        <v>29</v>
      </c>
      <c r="E1959" t="s">
        <v>29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20.079999999999998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 x14ac:dyDescent="0.25">
      <c r="A1960" t="s">
        <v>40</v>
      </c>
      <c r="B1960">
        <v>97</v>
      </c>
      <c r="C1960">
        <v>415</v>
      </c>
      <c r="D1960" t="s">
        <v>29</v>
      </c>
      <c r="E1960" t="s">
        <v>30</v>
      </c>
      <c r="F1960">
        <v>15</v>
      </c>
      <c r="G1960">
        <v>117.6</v>
      </c>
      <c r="H1960">
        <v>97</v>
      </c>
      <c r="I1960">
        <v>19.989999999999998</v>
      </c>
      <c r="J1960">
        <v>196.3</v>
      </c>
      <c r="K1960">
        <v>126</v>
      </c>
      <c r="L1960">
        <v>16.690000000000001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 x14ac:dyDescent="0.25">
      <c r="A1961" t="s">
        <v>71</v>
      </c>
      <c r="B1961">
        <v>55</v>
      </c>
      <c r="C1961">
        <v>415</v>
      </c>
      <c r="D1961" t="s">
        <v>29</v>
      </c>
      <c r="E1961" t="s">
        <v>30</v>
      </c>
      <c r="F1961">
        <v>28</v>
      </c>
      <c r="G1961">
        <v>105.3</v>
      </c>
      <c r="H1961">
        <v>82</v>
      </c>
      <c r="I1961">
        <v>17.899999999999999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2.3199999999999998</v>
      </c>
      <c r="S1961">
        <v>2</v>
      </c>
      <c r="T1961" t="b">
        <v>0</v>
      </c>
    </row>
    <row r="1962" spans="1:20" x14ac:dyDescent="0.25">
      <c r="A1962" t="s">
        <v>37</v>
      </c>
      <c r="B1962">
        <v>75</v>
      </c>
      <c r="C1962">
        <v>415</v>
      </c>
      <c r="D1962" t="s">
        <v>29</v>
      </c>
      <c r="E1962" t="s">
        <v>29</v>
      </c>
      <c r="F1962">
        <v>0</v>
      </c>
      <c r="G1962">
        <v>111.7</v>
      </c>
      <c r="H1962">
        <v>121</v>
      </c>
      <c r="I1962">
        <v>18.989999999999998</v>
      </c>
      <c r="J1962">
        <v>237.3</v>
      </c>
      <c r="K1962">
        <v>119</v>
      </c>
      <c r="L1962">
        <v>20.170000000000002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 x14ac:dyDescent="0.25">
      <c r="A1963" t="s">
        <v>41</v>
      </c>
      <c r="B1963">
        <v>83</v>
      </c>
      <c r="C1963">
        <v>415</v>
      </c>
      <c r="D1963" t="s">
        <v>29</v>
      </c>
      <c r="E1963" t="s">
        <v>29</v>
      </c>
      <c r="F1963">
        <v>0</v>
      </c>
      <c r="G1963">
        <v>159.30000000000001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 x14ac:dyDescent="0.25">
      <c r="A1964" t="s">
        <v>66</v>
      </c>
      <c r="B1964">
        <v>40</v>
      </c>
      <c r="C1964">
        <v>510</v>
      </c>
      <c r="D1964" t="s">
        <v>29</v>
      </c>
      <c r="E1964" t="s">
        <v>29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9.5399999999999991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 x14ac:dyDescent="0.25">
      <c r="A1965" t="s">
        <v>35</v>
      </c>
      <c r="B1965">
        <v>101</v>
      </c>
      <c r="C1965">
        <v>415</v>
      </c>
      <c r="D1965" t="s">
        <v>29</v>
      </c>
      <c r="E1965" t="s">
        <v>30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 x14ac:dyDescent="0.25">
      <c r="A1966" t="s">
        <v>55</v>
      </c>
      <c r="B1966">
        <v>120</v>
      </c>
      <c r="C1966">
        <v>415</v>
      </c>
      <c r="D1966" t="s">
        <v>29</v>
      </c>
      <c r="E1966" t="s">
        <v>30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 x14ac:dyDescent="0.25">
      <c r="A1967" t="s">
        <v>63</v>
      </c>
      <c r="B1967">
        <v>183</v>
      </c>
      <c r="C1967">
        <v>415</v>
      </c>
      <c r="D1967" t="s">
        <v>29</v>
      </c>
      <c r="E1967" t="s">
        <v>30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10.199999999999999</v>
      </c>
      <c r="Q1967">
        <v>4</v>
      </c>
      <c r="R1967">
        <v>2.75</v>
      </c>
      <c r="S1967">
        <v>1</v>
      </c>
      <c r="T1967" t="b">
        <v>0</v>
      </c>
    </row>
    <row r="1968" spans="1:20" x14ac:dyDescent="0.25">
      <c r="A1968" t="s">
        <v>77</v>
      </c>
      <c r="B1968">
        <v>75</v>
      </c>
      <c r="C1968">
        <v>510</v>
      </c>
      <c r="D1968" t="s">
        <v>29</v>
      </c>
      <c r="E1968" t="s">
        <v>29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 x14ac:dyDescent="0.25">
      <c r="A1969" t="s">
        <v>71</v>
      </c>
      <c r="B1969">
        <v>80</v>
      </c>
      <c r="C1969">
        <v>415</v>
      </c>
      <c r="D1969" t="s">
        <v>29</v>
      </c>
      <c r="E1969" t="s">
        <v>29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17.649999999999999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 x14ac:dyDescent="0.25">
      <c r="A1970" t="s">
        <v>41</v>
      </c>
      <c r="B1970">
        <v>88</v>
      </c>
      <c r="C1970">
        <v>415</v>
      </c>
      <c r="D1970" t="s">
        <v>29</v>
      </c>
      <c r="E1970" t="s">
        <v>29</v>
      </c>
      <c r="F1970">
        <v>0</v>
      </c>
      <c r="G1970">
        <v>55.6</v>
      </c>
      <c r="H1970">
        <v>65</v>
      </c>
      <c r="I1970">
        <v>9.4499999999999993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 x14ac:dyDescent="0.25">
      <c r="A1971" t="s">
        <v>70</v>
      </c>
      <c r="B1971">
        <v>112</v>
      </c>
      <c r="C1971">
        <v>415</v>
      </c>
      <c r="D1971" t="s">
        <v>29</v>
      </c>
      <c r="E1971" t="s">
        <v>30</v>
      </c>
      <c r="F1971">
        <v>23</v>
      </c>
      <c r="G1971">
        <v>286.60000000000002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 x14ac:dyDescent="0.25">
      <c r="A1972" t="s">
        <v>67</v>
      </c>
      <c r="B1972">
        <v>63</v>
      </c>
      <c r="C1972">
        <v>510</v>
      </c>
      <c r="D1972" t="s">
        <v>29</v>
      </c>
      <c r="E1972" t="s">
        <v>29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 x14ac:dyDescent="0.25">
      <c r="A1973" t="s">
        <v>62</v>
      </c>
      <c r="B1973">
        <v>105</v>
      </c>
      <c r="C1973">
        <v>415</v>
      </c>
      <c r="D1973" t="s">
        <v>29</v>
      </c>
      <c r="E1973" t="s">
        <v>30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8.3000000000000007</v>
      </c>
      <c r="Q1973">
        <v>4</v>
      </c>
      <c r="R1973">
        <v>2.2400000000000002</v>
      </c>
      <c r="S1973">
        <v>4</v>
      </c>
      <c r="T1973" t="b">
        <v>1</v>
      </c>
    </row>
    <row r="1974" spans="1:20" x14ac:dyDescent="0.25">
      <c r="A1974" t="s">
        <v>49</v>
      </c>
      <c r="B1974">
        <v>177</v>
      </c>
      <c r="C1974">
        <v>415</v>
      </c>
      <c r="D1974" t="s">
        <v>29</v>
      </c>
      <c r="E1974" t="s">
        <v>29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8.9499999999999993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 x14ac:dyDescent="0.25">
      <c r="A1975" t="s">
        <v>67</v>
      </c>
      <c r="B1975">
        <v>118</v>
      </c>
      <c r="C1975">
        <v>510</v>
      </c>
      <c r="D1975" t="s">
        <v>29</v>
      </c>
      <c r="E1975" t="s">
        <v>29</v>
      </c>
      <c r="F1975">
        <v>0</v>
      </c>
      <c r="G1975">
        <v>205.2</v>
      </c>
      <c r="H1975">
        <v>115</v>
      </c>
      <c r="I1975">
        <v>34.880000000000003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 x14ac:dyDescent="0.25">
      <c r="A1976" t="s">
        <v>41</v>
      </c>
      <c r="B1976">
        <v>82</v>
      </c>
      <c r="C1976">
        <v>510</v>
      </c>
      <c r="D1976" t="s">
        <v>29</v>
      </c>
      <c r="E1976" t="s">
        <v>30</v>
      </c>
      <c r="F1976">
        <v>34</v>
      </c>
      <c r="G1976">
        <v>232.6</v>
      </c>
      <c r="H1976">
        <v>121</v>
      </c>
      <c r="I1976">
        <v>39.54</v>
      </c>
      <c r="J1976">
        <v>153.19999999999999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 x14ac:dyDescent="0.25">
      <c r="A1977" t="s">
        <v>64</v>
      </c>
      <c r="B1977">
        <v>74</v>
      </c>
      <c r="C1977">
        <v>415</v>
      </c>
      <c r="D1977" t="s">
        <v>29</v>
      </c>
      <c r="E1977" t="s">
        <v>29</v>
      </c>
      <c r="F1977">
        <v>0</v>
      </c>
      <c r="G1977">
        <v>102.7</v>
      </c>
      <c r="H1977">
        <v>89</v>
      </c>
      <c r="I1977">
        <v>17.46</v>
      </c>
      <c r="J1977">
        <v>149.30000000000001</v>
      </c>
      <c r="K1977">
        <v>100</v>
      </c>
      <c r="L1977">
        <v>12.69</v>
      </c>
      <c r="M1977">
        <v>188.1</v>
      </c>
      <c r="N1977">
        <v>114</v>
      </c>
      <c r="O1977">
        <v>8.4600000000000009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 x14ac:dyDescent="0.25">
      <c r="A1978" t="s">
        <v>34</v>
      </c>
      <c r="B1978">
        <v>125</v>
      </c>
      <c r="C1978">
        <v>408</v>
      </c>
      <c r="D1978" t="s">
        <v>29</v>
      </c>
      <c r="E1978" t="s">
        <v>29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 x14ac:dyDescent="0.25">
      <c r="A1979" t="s">
        <v>43</v>
      </c>
      <c r="B1979">
        <v>138</v>
      </c>
      <c r="C1979">
        <v>415</v>
      </c>
      <c r="D1979" t="s">
        <v>29</v>
      </c>
      <c r="E1979" t="s">
        <v>29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142.19999999999999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 x14ac:dyDescent="0.25">
      <c r="A1980" t="s">
        <v>41</v>
      </c>
      <c r="B1980">
        <v>119</v>
      </c>
      <c r="C1980">
        <v>415</v>
      </c>
      <c r="D1980" t="s">
        <v>29</v>
      </c>
      <c r="E1980" t="s">
        <v>29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2.0499999999999998</v>
      </c>
      <c r="S1980">
        <v>3</v>
      </c>
      <c r="T1980" t="b">
        <v>0</v>
      </c>
    </row>
    <row r="1981" spans="1:20" x14ac:dyDescent="0.25">
      <c r="A1981" t="s">
        <v>70</v>
      </c>
      <c r="B1981">
        <v>137</v>
      </c>
      <c r="C1981">
        <v>510</v>
      </c>
      <c r="D1981" t="s">
        <v>29</v>
      </c>
      <c r="E1981" t="s">
        <v>29</v>
      </c>
      <c r="F1981">
        <v>0</v>
      </c>
      <c r="G1981">
        <v>109.8</v>
      </c>
      <c r="H1981">
        <v>120</v>
      </c>
      <c r="I1981">
        <v>18.670000000000002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 x14ac:dyDescent="0.25">
      <c r="A1982" t="s">
        <v>64</v>
      </c>
      <c r="B1982">
        <v>182</v>
      </c>
      <c r="C1982">
        <v>415</v>
      </c>
      <c r="D1982" t="s">
        <v>29</v>
      </c>
      <c r="E1982" t="s">
        <v>29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 x14ac:dyDescent="0.25">
      <c r="A1983" t="s">
        <v>78</v>
      </c>
      <c r="B1983">
        <v>134</v>
      </c>
      <c r="C1983">
        <v>415</v>
      </c>
      <c r="D1983" t="s">
        <v>29</v>
      </c>
      <c r="E1983" t="s">
        <v>30</v>
      </c>
      <c r="F1983">
        <v>38</v>
      </c>
      <c r="G1983">
        <v>214.4</v>
      </c>
      <c r="H1983">
        <v>93</v>
      </c>
      <c r="I1983">
        <v>36.450000000000003</v>
      </c>
      <c r="J1983">
        <v>211.7</v>
      </c>
      <c r="K1983">
        <v>57</v>
      </c>
      <c r="L1983">
        <v>17.989999999999998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 x14ac:dyDescent="0.25">
      <c r="A1984" t="s">
        <v>69</v>
      </c>
      <c r="B1984">
        <v>45</v>
      </c>
      <c r="C1984">
        <v>415</v>
      </c>
      <c r="D1984" t="s">
        <v>29</v>
      </c>
      <c r="E1984" t="s">
        <v>29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9.6999999999999993</v>
      </c>
      <c r="Q1984">
        <v>4</v>
      </c>
      <c r="R1984">
        <v>2.62</v>
      </c>
      <c r="S1984">
        <v>1</v>
      </c>
      <c r="T1984" t="b">
        <v>0</v>
      </c>
    </row>
    <row r="1985" spans="1:20" x14ac:dyDescent="0.25">
      <c r="A1985" t="s">
        <v>52</v>
      </c>
      <c r="B1985">
        <v>163</v>
      </c>
      <c r="C1985">
        <v>408</v>
      </c>
      <c r="D1985" t="s">
        <v>29</v>
      </c>
      <c r="E1985" t="s">
        <v>30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19.850000000000001</v>
      </c>
      <c r="M1985">
        <v>293.89999999999998</v>
      </c>
      <c r="N1985">
        <v>104</v>
      </c>
      <c r="O1985">
        <v>13.23</v>
      </c>
      <c r="P1985">
        <v>8.8000000000000007</v>
      </c>
      <c r="Q1985">
        <v>4</v>
      </c>
      <c r="R1985">
        <v>2.38</v>
      </c>
      <c r="S1985">
        <v>1</v>
      </c>
      <c r="T1985" t="b">
        <v>0</v>
      </c>
    </row>
    <row r="1986" spans="1:20" x14ac:dyDescent="0.25">
      <c r="A1986" t="s">
        <v>78</v>
      </c>
      <c r="B1986">
        <v>105</v>
      </c>
      <c r="C1986">
        <v>415</v>
      </c>
      <c r="D1986" t="s">
        <v>29</v>
      </c>
      <c r="E1986" t="s">
        <v>29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9.9700000000000006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 x14ac:dyDescent="0.25">
      <c r="A1987" t="s">
        <v>45</v>
      </c>
      <c r="B1987">
        <v>119</v>
      </c>
      <c r="C1987">
        <v>415</v>
      </c>
      <c r="D1987" t="s">
        <v>29</v>
      </c>
      <c r="E1987" t="s">
        <v>29</v>
      </c>
      <c r="F1987">
        <v>0</v>
      </c>
      <c r="G1987">
        <v>109.2</v>
      </c>
      <c r="H1987">
        <v>96</v>
      </c>
      <c r="I1987">
        <v>18.559999999999999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9.8000000000000007</v>
      </c>
      <c r="Q1987">
        <v>5</v>
      </c>
      <c r="R1987">
        <v>2.65</v>
      </c>
      <c r="S1987">
        <v>2</v>
      </c>
      <c r="T1987" t="b">
        <v>0</v>
      </c>
    </row>
    <row r="1988" spans="1:20" x14ac:dyDescent="0.25">
      <c r="A1988" t="s">
        <v>49</v>
      </c>
      <c r="B1988">
        <v>78</v>
      </c>
      <c r="C1988">
        <v>408</v>
      </c>
      <c r="D1988" t="s">
        <v>29</v>
      </c>
      <c r="E1988" t="s">
        <v>29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8.4700000000000006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 x14ac:dyDescent="0.25">
      <c r="A1989" t="s">
        <v>58</v>
      </c>
      <c r="B1989">
        <v>125</v>
      </c>
      <c r="C1989">
        <v>408</v>
      </c>
      <c r="D1989" t="s">
        <v>29</v>
      </c>
      <c r="E1989" t="s">
        <v>30</v>
      </c>
      <c r="F1989">
        <v>32</v>
      </c>
      <c r="G1989">
        <v>96.5</v>
      </c>
      <c r="H1989">
        <v>109</v>
      </c>
      <c r="I1989">
        <v>16.41</v>
      </c>
      <c r="J1989">
        <v>145.80000000000001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 x14ac:dyDescent="0.25">
      <c r="A1990" t="s">
        <v>60</v>
      </c>
      <c r="B1990">
        <v>88</v>
      </c>
      <c r="C1990">
        <v>415</v>
      </c>
      <c r="D1990" t="s">
        <v>29</v>
      </c>
      <c r="E1990" t="s">
        <v>29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8.7200000000000006</v>
      </c>
      <c r="P1990">
        <v>8.3000000000000007</v>
      </c>
      <c r="Q1990">
        <v>5</v>
      </c>
      <c r="R1990">
        <v>2.2400000000000002</v>
      </c>
      <c r="S1990">
        <v>3</v>
      </c>
      <c r="T1990" t="b">
        <v>0</v>
      </c>
    </row>
    <row r="1991" spans="1:20" x14ac:dyDescent="0.25">
      <c r="A1991" t="s">
        <v>55</v>
      </c>
      <c r="B1991">
        <v>83</v>
      </c>
      <c r="C1991">
        <v>408</v>
      </c>
      <c r="D1991" t="s">
        <v>29</v>
      </c>
      <c r="E1991" t="s">
        <v>30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 x14ac:dyDescent="0.25">
      <c r="A1992" t="s">
        <v>76</v>
      </c>
      <c r="B1992">
        <v>3</v>
      </c>
      <c r="C1992">
        <v>510</v>
      </c>
      <c r="D1992" t="s">
        <v>30</v>
      </c>
      <c r="E1992" t="s">
        <v>29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 x14ac:dyDescent="0.25">
      <c r="A1993" t="s">
        <v>65</v>
      </c>
      <c r="B1993">
        <v>48</v>
      </c>
      <c r="C1993">
        <v>510</v>
      </c>
      <c r="D1993" t="s">
        <v>29</v>
      </c>
      <c r="E1993" t="s">
        <v>29</v>
      </c>
      <c r="F1993">
        <v>0</v>
      </c>
      <c r="G1993">
        <v>149.19999999999999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8.3000000000000007</v>
      </c>
      <c r="Q1993">
        <v>2</v>
      </c>
      <c r="R1993">
        <v>2.2400000000000002</v>
      </c>
      <c r="S1993">
        <v>3</v>
      </c>
      <c r="T1993" t="b">
        <v>0</v>
      </c>
    </row>
    <row r="1994" spans="1:20" x14ac:dyDescent="0.25">
      <c r="A1994" t="s">
        <v>60</v>
      </c>
      <c r="B1994">
        <v>129</v>
      </c>
      <c r="C1994">
        <v>415</v>
      </c>
      <c r="D1994" t="s">
        <v>29</v>
      </c>
      <c r="E1994" t="s">
        <v>29</v>
      </c>
      <c r="F1994">
        <v>0</v>
      </c>
      <c r="G1994">
        <v>137.80000000000001</v>
      </c>
      <c r="H1994">
        <v>120</v>
      </c>
      <c r="I1994">
        <v>23.43</v>
      </c>
      <c r="J1994">
        <v>225.8</v>
      </c>
      <c r="K1994">
        <v>110</v>
      </c>
      <c r="L1994">
        <v>19.190000000000001</v>
      </c>
      <c r="M1994">
        <v>145.19999999999999</v>
      </c>
      <c r="N1994">
        <v>95</v>
      </c>
      <c r="O1994">
        <v>6.53</v>
      </c>
      <c r="P1994">
        <v>10.199999999999999</v>
      </c>
      <c r="Q1994">
        <v>6</v>
      </c>
      <c r="R1994">
        <v>2.75</v>
      </c>
      <c r="S1994">
        <v>1</v>
      </c>
      <c r="T1994" t="b">
        <v>1</v>
      </c>
    </row>
    <row r="1995" spans="1:20" x14ac:dyDescent="0.25">
      <c r="A1995" t="s">
        <v>46</v>
      </c>
      <c r="B1995">
        <v>66</v>
      </c>
      <c r="C1995">
        <v>408</v>
      </c>
      <c r="D1995" t="s">
        <v>29</v>
      </c>
      <c r="E1995" t="s">
        <v>30</v>
      </c>
      <c r="F1995">
        <v>40</v>
      </c>
      <c r="G1995">
        <v>141.69999999999999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2.2999999999999998</v>
      </c>
      <c r="S1995">
        <v>0</v>
      </c>
      <c r="T1995" t="b">
        <v>0</v>
      </c>
    </row>
    <row r="1996" spans="1:20" x14ac:dyDescent="0.25">
      <c r="A1996" t="s">
        <v>44</v>
      </c>
      <c r="B1996">
        <v>80</v>
      </c>
      <c r="C1996">
        <v>510</v>
      </c>
      <c r="D1996" t="s">
        <v>29</v>
      </c>
      <c r="E1996" t="s">
        <v>30</v>
      </c>
      <c r="F1996">
        <v>22</v>
      </c>
      <c r="G1996">
        <v>196.4</v>
      </c>
      <c r="H1996">
        <v>115</v>
      </c>
      <c r="I1996">
        <v>33.39</v>
      </c>
      <c r="J1996">
        <v>150.30000000000001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9.3000000000000007</v>
      </c>
      <c r="Q1996">
        <v>1</v>
      </c>
      <c r="R1996">
        <v>2.5099999999999998</v>
      </c>
      <c r="S1996">
        <v>0</v>
      </c>
      <c r="T1996" t="b">
        <v>0</v>
      </c>
    </row>
    <row r="1997" spans="1:20" x14ac:dyDescent="0.25">
      <c r="A1997" t="s">
        <v>37</v>
      </c>
      <c r="B1997">
        <v>84</v>
      </c>
      <c r="C1997">
        <v>408</v>
      </c>
      <c r="D1997" t="s">
        <v>29</v>
      </c>
      <c r="E1997" t="s">
        <v>29</v>
      </c>
      <c r="F1997">
        <v>0</v>
      </c>
      <c r="G1997">
        <v>146.80000000000001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 x14ac:dyDescent="0.25">
      <c r="A1998" t="s">
        <v>35</v>
      </c>
      <c r="B1998">
        <v>96</v>
      </c>
      <c r="C1998">
        <v>415</v>
      </c>
      <c r="D1998" t="s">
        <v>29</v>
      </c>
      <c r="E1998" t="s">
        <v>29</v>
      </c>
      <c r="F1998">
        <v>0</v>
      </c>
      <c r="G1998">
        <v>173.9</v>
      </c>
      <c r="H1998">
        <v>111</v>
      </c>
      <c r="I1998">
        <v>29.56</v>
      </c>
      <c r="J1998">
        <v>287.39999999999998</v>
      </c>
      <c r="K1998">
        <v>105</v>
      </c>
      <c r="L1998">
        <v>24.43</v>
      </c>
      <c r="M1998">
        <v>204.8</v>
      </c>
      <c r="N1998">
        <v>91</v>
      </c>
      <c r="O1998">
        <v>9.2200000000000006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 x14ac:dyDescent="0.25">
      <c r="A1999" t="s">
        <v>76</v>
      </c>
      <c r="B1999">
        <v>123</v>
      </c>
      <c r="C1999">
        <v>415</v>
      </c>
      <c r="D1999" t="s">
        <v>29</v>
      </c>
      <c r="E1999" t="s">
        <v>30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 x14ac:dyDescent="0.25">
      <c r="A2000" t="s">
        <v>41</v>
      </c>
      <c r="B2000">
        <v>116</v>
      </c>
      <c r="C2000">
        <v>510</v>
      </c>
      <c r="D2000" t="s">
        <v>30</v>
      </c>
      <c r="E2000" t="s">
        <v>30</v>
      </c>
      <c r="F2000">
        <v>29</v>
      </c>
      <c r="G2000">
        <v>162.30000000000001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 x14ac:dyDescent="0.25">
      <c r="A2001" t="s">
        <v>59</v>
      </c>
      <c r="B2001">
        <v>105</v>
      </c>
      <c r="C2001">
        <v>415</v>
      </c>
      <c r="D2001" t="s">
        <v>30</v>
      </c>
      <c r="E2001" t="s">
        <v>29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 x14ac:dyDescent="0.25">
      <c r="A2002" t="s">
        <v>43</v>
      </c>
      <c r="B2002">
        <v>80</v>
      </c>
      <c r="C2002">
        <v>415</v>
      </c>
      <c r="D2002" t="s">
        <v>29</v>
      </c>
      <c r="E2002" t="s">
        <v>29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 x14ac:dyDescent="0.25">
      <c r="A2003" t="s">
        <v>40</v>
      </c>
      <c r="B2003">
        <v>157</v>
      </c>
      <c r="C2003">
        <v>408</v>
      </c>
      <c r="D2003" t="s">
        <v>29</v>
      </c>
      <c r="E2003" t="s">
        <v>29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10.199999999999999</v>
      </c>
      <c r="Q2003">
        <v>6</v>
      </c>
      <c r="R2003">
        <v>2.75</v>
      </c>
      <c r="S2003">
        <v>2</v>
      </c>
      <c r="T2003" t="b">
        <v>0</v>
      </c>
    </row>
    <row r="2004" spans="1:20" x14ac:dyDescent="0.25">
      <c r="A2004" t="s">
        <v>41</v>
      </c>
      <c r="B2004">
        <v>67</v>
      </c>
      <c r="C2004">
        <v>510</v>
      </c>
      <c r="D2004" t="s">
        <v>29</v>
      </c>
      <c r="E2004" t="s">
        <v>30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 x14ac:dyDescent="0.25">
      <c r="A2005" t="s">
        <v>55</v>
      </c>
      <c r="B2005">
        <v>79</v>
      </c>
      <c r="C2005">
        <v>415</v>
      </c>
      <c r="D2005" t="s">
        <v>29</v>
      </c>
      <c r="E2005" t="s">
        <v>30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259.60000000000002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 x14ac:dyDescent="0.25">
      <c r="A2006" t="s">
        <v>73</v>
      </c>
      <c r="B2006">
        <v>76</v>
      </c>
      <c r="C2006">
        <v>408</v>
      </c>
      <c r="D2006" t="s">
        <v>29</v>
      </c>
      <c r="E2006" t="s">
        <v>29</v>
      </c>
      <c r="F2006">
        <v>0</v>
      </c>
      <c r="G2006">
        <v>173.2</v>
      </c>
      <c r="H2006">
        <v>93</v>
      </c>
      <c r="I2006">
        <v>29.44</v>
      </c>
      <c r="J2006">
        <v>131.19999999999999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 x14ac:dyDescent="0.25">
      <c r="A2007" t="s">
        <v>31</v>
      </c>
      <c r="B2007">
        <v>94</v>
      </c>
      <c r="C2007">
        <v>415</v>
      </c>
      <c r="D2007" t="s">
        <v>29</v>
      </c>
      <c r="E2007" t="s">
        <v>29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8.1300000000000008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 x14ac:dyDescent="0.25">
      <c r="A2008" t="s">
        <v>56</v>
      </c>
      <c r="B2008">
        <v>109</v>
      </c>
      <c r="C2008">
        <v>510</v>
      </c>
      <c r="D2008" t="s">
        <v>29</v>
      </c>
      <c r="E2008" t="s">
        <v>29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9.8000000000000007</v>
      </c>
      <c r="Q2008">
        <v>9</v>
      </c>
      <c r="R2008">
        <v>2.65</v>
      </c>
      <c r="S2008">
        <v>1</v>
      </c>
      <c r="T2008" t="b">
        <v>0</v>
      </c>
    </row>
    <row r="2009" spans="1:20" x14ac:dyDescent="0.25">
      <c r="A2009" t="s">
        <v>47</v>
      </c>
      <c r="B2009">
        <v>138</v>
      </c>
      <c r="C2009">
        <v>415</v>
      </c>
      <c r="D2009" t="s">
        <v>29</v>
      </c>
      <c r="E2009" t="s">
        <v>29</v>
      </c>
      <c r="F2009">
        <v>0</v>
      </c>
      <c r="G2009">
        <v>87.6</v>
      </c>
      <c r="H2009">
        <v>112</v>
      </c>
      <c r="I2009">
        <v>14.89</v>
      </c>
      <c r="J2009">
        <v>266.89999999999998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9.8000000000000007</v>
      </c>
      <c r="Q2009">
        <v>10</v>
      </c>
      <c r="R2009">
        <v>2.65</v>
      </c>
      <c r="S2009">
        <v>2</v>
      </c>
      <c r="T2009" t="b">
        <v>0</v>
      </c>
    </row>
    <row r="2010" spans="1:20" x14ac:dyDescent="0.25">
      <c r="A2010" t="s">
        <v>75</v>
      </c>
      <c r="B2010">
        <v>73</v>
      </c>
      <c r="C2010">
        <v>415</v>
      </c>
      <c r="D2010" t="s">
        <v>29</v>
      </c>
      <c r="E2010" t="s">
        <v>29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9.0299999999999994</v>
      </c>
      <c r="P2010">
        <v>8.5</v>
      </c>
      <c r="Q2010">
        <v>6</v>
      </c>
      <c r="R2010">
        <v>2.2999999999999998</v>
      </c>
      <c r="S2010">
        <v>0</v>
      </c>
      <c r="T2010" t="b">
        <v>0</v>
      </c>
    </row>
    <row r="2011" spans="1:20" x14ac:dyDescent="0.25">
      <c r="A2011" t="s">
        <v>71</v>
      </c>
      <c r="B2011">
        <v>21</v>
      </c>
      <c r="C2011">
        <v>415</v>
      </c>
      <c r="D2011" t="s">
        <v>29</v>
      </c>
      <c r="E2011" t="s">
        <v>29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 x14ac:dyDescent="0.25">
      <c r="A2012" t="s">
        <v>48</v>
      </c>
      <c r="B2012">
        <v>103</v>
      </c>
      <c r="C2012">
        <v>408</v>
      </c>
      <c r="D2012" t="s">
        <v>29</v>
      </c>
      <c r="E2012" t="s">
        <v>29</v>
      </c>
      <c r="F2012">
        <v>0</v>
      </c>
      <c r="G2012">
        <v>160.80000000000001</v>
      </c>
      <c r="H2012">
        <v>91</v>
      </c>
      <c r="I2012">
        <v>27.34</v>
      </c>
      <c r="J2012">
        <v>155.80000000000001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2.2999999999999998</v>
      </c>
      <c r="S2012">
        <v>1</v>
      </c>
      <c r="T2012" t="b">
        <v>0</v>
      </c>
    </row>
    <row r="2013" spans="1:20" x14ac:dyDescent="0.25">
      <c r="A2013" t="s">
        <v>66</v>
      </c>
      <c r="B2013">
        <v>79</v>
      </c>
      <c r="C2013">
        <v>408</v>
      </c>
      <c r="D2013" t="s">
        <v>29</v>
      </c>
      <c r="E2013" t="s">
        <v>30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146.80000000000001</v>
      </c>
      <c r="N2013">
        <v>121</v>
      </c>
      <c r="O2013">
        <v>6.61</v>
      </c>
      <c r="P2013">
        <v>4.2</v>
      </c>
      <c r="Q2013">
        <v>4</v>
      </c>
      <c r="R2013">
        <v>1.1299999999999999</v>
      </c>
      <c r="S2013">
        <v>2</v>
      </c>
      <c r="T2013" t="b">
        <v>0</v>
      </c>
    </row>
    <row r="2014" spans="1:20" x14ac:dyDescent="0.25">
      <c r="A2014" t="s">
        <v>68</v>
      </c>
      <c r="B2014">
        <v>89</v>
      </c>
      <c r="C2014">
        <v>415</v>
      </c>
      <c r="D2014" t="s">
        <v>29</v>
      </c>
      <c r="E2014" t="s">
        <v>29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10.199999999999999</v>
      </c>
      <c r="Q2014">
        <v>5</v>
      </c>
      <c r="R2014">
        <v>2.75</v>
      </c>
      <c r="S2014">
        <v>1</v>
      </c>
      <c r="T2014" t="b">
        <v>0</v>
      </c>
    </row>
    <row r="2015" spans="1:20" x14ac:dyDescent="0.25">
      <c r="A2015" t="s">
        <v>62</v>
      </c>
      <c r="B2015">
        <v>120</v>
      </c>
      <c r="C2015">
        <v>415</v>
      </c>
      <c r="D2015" t="s">
        <v>29</v>
      </c>
      <c r="E2015" t="s">
        <v>29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 x14ac:dyDescent="0.25">
      <c r="A2016" t="s">
        <v>61</v>
      </c>
      <c r="B2016">
        <v>121</v>
      </c>
      <c r="C2016">
        <v>415</v>
      </c>
      <c r="D2016" t="s">
        <v>29</v>
      </c>
      <c r="E2016" t="s">
        <v>30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 x14ac:dyDescent="0.25">
      <c r="A2017" t="s">
        <v>50</v>
      </c>
      <c r="B2017">
        <v>101</v>
      </c>
      <c r="C2017">
        <v>415</v>
      </c>
      <c r="D2017" t="s">
        <v>29</v>
      </c>
      <c r="E2017" t="s">
        <v>29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 x14ac:dyDescent="0.25">
      <c r="A2018" t="s">
        <v>69</v>
      </c>
      <c r="B2018">
        <v>115</v>
      </c>
      <c r="C2018">
        <v>408</v>
      </c>
      <c r="D2018" t="s">
        <v>29</v>
      </c>
      <c r="E2018" t="s">
        <v>29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16.399999999999999</v>
      </c>
      <c r="Q2018">
        <v>5</v>
      </c>
      <c r="R2018">
        <v>4.43</v>
      </c>
      <c r="S2018">
        <v>2</v>
      </c>
      <c r="T2018" t="b">
        <v>0</v>
      </c>
    </row>
    <row r="2019" spans="1:20" x14ac:dyDescent="0.25">
      <c r="A2019" t="s">
        <v>60</v>
      </c>
      <c r="B2019">
        <v>168</v>
      </c>
      <c r="C2019">
        <v>415</v>
      </c>
      <c r="D2019" t="s">
        <v>29</v>
      </c>
      <c r="E2019" t="s">
        <v>29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 x14ac:dyDescent="0.25">
      <c r="A2020" t="s">
        <v>73</v>
      </c>
      <c r="B2020">
        <v>70</v>
      </c>
      <c r="C2020">
        <v>510</v>
      </c>
      <c r="D2020" t="s">
        <v>29</v>
      </c>
      <c r="E2020" t="s">
        <v>29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 x14ac:dyDescent="0.25">
      <c r="A2021" t="s">
        <v>42</v>
      </c>
      <c r="B2021">
        <v>138</v>
      </c>
      <c r="C2021">
        <v>415</v>
      </c>
      <c r="D2021" t="s">
        <v>29</v>
      </c>
      <c r="E2021" t="s">
        <v>29</v>
      </c>
      <c r="F2021">
        <v>0</v>
      </c>
      <c r="G2021">
        <v>230.1</v>
      </c>
      <c r="H2021">
        <v>107</v>
      </c>
      <c r="I2021">
        <v>39.119999999999997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 x14ac:dyDescent="0.25">
      <c r="A2022" t="s">
        <v>42</v>
      </c>
      <c r="B2022">
        <v>43</v>
      </c>
      <c r="C2022">
        <v>408</v>
      </c>
      <c r="D2022" t="s">
        <v>29</v>
      </c>
      <c r="E2022" t="s">
        <v>29</v>
      </c>
      <c r="F2022">
        <v>0</v>
      </c>
      <c r="G2022">
        <v>135.80000000000001</v>
      </c>
      <c r="H2022">
        <v>125</v>
      </c>
      <c r="I2022">
        <v>23.09</v>
      </c>
      <c r="J2022">
        <v>163.19999999999999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 x14ac:dyDescent="0.25">
      <c r="A2023" t="s">
        <v>61</v>
      </c>
      <c r="B2023">
        <v>117</v>
      </c>
      <c r="C2023">
        <v>510</v>
      </c>
      <c r="D2023" t="s">
        <v>29</v>
      </c>
      <c r="E2023" t="s">
        <v>30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8.6999999999999993</v>
      </c>
      <c r="Q2023">
        <v>3</v>
      </c>
      <c r="R2023">
        <v>2.35</v>
      </c>
      <c r="S2023">
        <v>2</v>
      </c>
      <c r="T2023" t="b">
        <v>0</v>
      </c>
    </row>
    <row r="2024" spans="1:20" x14ac:dyDescent="0.25">
      <c r="A2024" t="s">
        <v>71</v>
      </c>
      <c r="B2024">
        <v>108</v>
      </c>
      <c r="C2024">
        <v>408</v>
      </c>
      <c r="D2024" t="s">
        <v>29</v>
      </c>
      <c r="E2024" t="s">
        <v>29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 x14ac:dyDescent="0.25">
      <c r="A2025" t="s">
        <v>43</v>
      </c>
      <c r="B2025">
        <v>118</v>
      </c>
      <c r="C2025">
        <v>408</v>
      </c>
      <c r="D2025" t="s">
        <v>29</v>
      </c>
      <c r="E2025" t="s">
        <v>29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19.850000000000001</v>
      </c>
      <c r="M2025">
        <v>270.89999999999998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 x14ac:dyDescent="0.25">
      <c r="A2026" t="s">
        <v>47</v>
      </c>
      <c r="B2026">
        <v>62</v>
      </c>
      <c r="C2026">
        <v>408</v>
      </c>
      <c r="D2026" t="s">
        <v>29</v>
      </c>
      <c r="E2026" t="s">
        <v>30</v>
      </c>
      <c r="F2026">
        <v>42</v>
      </c>
      <c r="G2026">
        <v>137.30000000000001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10.199999999999999</v>
      </c>
      <c r="Q2026">
        <v>3</v>
      </c>
      <c r="R2026">
        <v>2.75</v>
      </c>
      <c r="S2026">
        <v>0</v>
      </c>
      <c r="T2026" t="b">
        <v>0</v>
      </c>
    </row>
    <row r="2027" spans="1:20" x14ac:dyDescent="0.25">
      <c r="A2027" t="s">
        <v>70</v>
      </c>
      <c r="B2027">
        <v>86</v>
      </c>
      <c r="C2027">
        <v>510</v>
      </c>
      <c r="D2027" t="s">
        <v>29</v>
      </c>
      <c r="E2027" t="s">
        <v>29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17.940000000000001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 x14ac:dyDescent="0.25">
      <c r="A2028" t="s">
        <v>43</v>
      </c>
      <c r="B2028">
        <v>44</v>
      </c>
      <c r="C2028">
        <v>408</v>
      </c>
      <c r="D2028" t="s">
        <v>29</v>
      </c>
      <c r="E2028" t="s">
        <v>29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17.440000000000001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 x14ac:dyDescent="0.25">
      <c r="A2029" t="s">
        <v>55</v>
      </c>
      <c r="B2029">
        <v>111</v>
      </c>
      <c r="C2029">
        <v>510</v>
      </c>
      <c r="D2029" t="s">
        <v>29</v>
      </c>
      <c r="E2029" t="s">
        <v>29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 x14ac:dyDescent="0.25">
      <c r="A2030" t="s">
        <v>35</v>
      </c>
      <c r="B2030">
        <v>127</v>
      </c>
      <c r="C2030">
        <v>510</v>
      </c>
      <c r="D2030" t="s">
        <v>29</v>
      </c>
      <c r="E2030" t="s">
        <v>30</v>
      </c>
      <c r="F2030">
        <v>19</v>
      </c>
      <c r="G2030">
        <v>129.69999999999999</v>
      </c>
      <c r="H2030">
        <v>115</v>
      </c>
      <c r="I2030">
        <v>22.05</v>
      </c>
      <c r="J2030">
        <v>160.80000000000001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 x14ac:dyDescent="0.25">
      <c r="A2031" t="s">
        <v>50</v>
      </c>
      <c r="B2031">
        <v>151</v>
      </c>
      <c r="C2031">
        <v>415</v>
      </c>
      <c r="D2031" t="s">
        <v>30</v>
      </c>
      <c r="E2031" t="s">
        <v>29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17.809999999999999</v>
      </c>
      <c r="M2031">
        <v>281.89999999999998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 x14ac:dyDescent="0.25">
      <c r="A2032" t="s">
        <v>77</v>
      </c>
      <c r="B2032">
        <v>137</v>
      </c>
      <c r="C2032">
        <v>415</v>
      </c>
      <c r="D2032" t="s">
        <v>29</v>
      </c>
      <c r="E2032" t="s">
        <v>29</v>
      </c>
      <c r="F2032">
        <v>0</v>
      </c>
      <c r="G2032">
        <v>215.9</v>
      </c>
      <c r="H2032">
        <v>76</v>
      </c>
      <c r="I2032">
        <v>36.700000000000003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 x14ac:dyDescent="0.25">
      <c r="A2033" t="s">
        <v>76</v>
      </c>
      <c r="B2033">
        <v>106</v>
      </c>
      <c r="C2033">
        <v>415</v>
      </c>
      <c r="D2033" t="s">
        <v>29</v>
      </c>
      <c r="E2033" t="s">
        <v>29</v>
      </c>
      <c r="F2033">
        <v>0</v>
      </c>
      <c r="G2033">
        <v>119.2</v>
      </c>
      <c r="H2033">
        <v>142</v>
      </c>
      <c r="I2033">
        <v>20.260000000000002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 x14ac:dyDescent="0.25">
      <c r="A2034" t="s">
        <v>32</v>
      </c>
      <c r="B2034">
        <v>88</v>
      </c>
      <c r="C2034">
        <v>510</v>
      </c>
      <c r="D2034" t="s">
        <v>29</v>
      </c>
      <c r="E2034" t="s">
        <v>29</v>
      </c>
      <c r="F2034">
        <v>0</v>
      </c>
      <c r="G2034">
        <v>144.30000000000001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 x14ac:dyDescent="0.25">
      <c r="A2035" t="s">
        <v>43</v>
      </c>
      <c r="B2035">
        <v>106</v>
      </c>
      <c r="C2035">
        <v>415</v>
      </c>
      <c r="D2035" t="s">
        <v>29</v>
      </c>
      <c r="E2035" t="s">
        <v>29</v>
      </c>
      <c r="F2035">
        <v>0</v>
      </c>
      <c r="G2035">
        <v>235.2</v>
      </c>
      <c r="H2035">
        <v>121</v>
      </c>
      <c r="I2035">
        <v>39.979999999999997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 x14ac:dyDescent="0.25">
      <c r="A2036" t="s">
        <v>32</v>
      </c>
      <c r="B2036">
        <v>57</v>
      </c>
      <c r="C2036">
        <v>510</v>
      </c>
      <c r="D2036" t="s">
        <v>30</v>
      </c>
      <c r="E2036" t="s">
        <v>29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 x14ac:dyDescent="0.25">
      <c r="A2037" t="s">
        <v>65</v>
      </c>
      <c r="B2037">
        <v>184</v>
      </c>
      <c r="C2037">
        <v>408</v>
      </c>
      <c r="D2037" t="s">
        <v>29</v>
      </c>
      <c r="E2037" t="s">
        <v>29</v>
      </c>
      <c r="F2037">
        <v>0</v>
      </c>
      <c r="G2037">
        <v>151.69999999999999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 x14ac:dyDescent="0.25">
      <c r="A2038" t="s">
        <v>56</v>
      </c>
      <c r="B2038">
        <v>109</v>
      </c>
      <c r="C2038">
        <v>510</v>
      </c>
      <c r="D2038" t="s">
        <v>29</v>
      </c>
      <c r="E2038" t="s">
        <v>29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19.899999999999999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 x14ac:dyDescent="0.25">
      <c r="A2039" t="s">
        <v>57</v>
      </c>
      <c r="B2039">
        <v>127</v>
      </c>
      <c r="C2039">
        <v>415</v>
      </c>
      <c r="D2039" t="s">
        <v>29</v>
      </c>
      <c r="E2039" t="s">
        <v>29</v>
      </c>
      <c r="F2039">
        <v>0</v>
      </c>
      <c r="G2039">
        <v>218.6</v>
      </c>
      <c r="H2039">
        <v>93</v>
      </c>
      <c r="I2039">
        <v>37.159999999999997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9.2100000000000009</v>
      </c>
      <c r="P2039">
        <v>9.1999999999999993</v>
      </c>
      <c r="Q2039">
        <v>5</v>
      </c>
      <c r="R2039">
        <v>2.48</v>
      </c>
      <c r="S2039">
        <v>2</v>
      </c>
      <c r="T2039" t="b">
        <v>0</v>
      </c>
    </row>
    <row r="2040" spans="1:20" x14ac:dyDescent="0.25">
      <c r="A2040" t="s">
        <v>72</v>
      </c>
      <c r="B2040">
        <v>174</v>
      </c>
      <c r="C2040">
        <v>415</v>
      </c>
      <c r="D2040" t="s">
        <v>29</v>
      </c>
      <c r="E2040" t="s">
        <v>29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 x14ac:dyDescent="0.25">
      <c r="A2041" t="s">
        <v>46</v>
      </c>
      <c r="B2041">
        <v>92</v>
      </c>
      <c r="C2041">
        <v>415</v>
      </c>
      <c r="D2041" t="s">
        <v>29</v>
      </c>
      <c r="E2041" t="s">
        <v>29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 x14ac:dyDescent="0.25">
      <c r="A2042" t="s">
        <v>46</v>
      </c>
      <c r="B2042">
        <v>81</v>
      </c>
      <c r="C2042">
        <v>408</v>
      </c>
      <c r="D2042" t="s">
        <v>29</v>
      </c>
      <c r="E2042" t="s">
        <v>29</v>
      </c>
      <c r="F2042">
        <v>0</v>
      </c>
      <c r="G2042">
        <v>115.3</v>
      </c>
      <c r="H2042">
        <v>99</v>
      </c>
      <c r="I2042">
        <v>19.600000000000001</v>
      </c>
      <c r="J2042">
        <v>224.7</v>
      </c>
      <c r="K2042">
        <v>117</v>
      </c>
      <c r="L2042">
        <v>19.100000000000001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4.8600000000000003</v>
      </c>
      <c r="S2042">
        <v>1</v>
      </c>
      <c r="T2042" t="b">
        <v>0</v>
      </c>
    </row>
    <row r="2043" spans="1:20" x14ac:dyDescent="0.25">
      <c r="A2043" t="s">
        <v>80</v>
      </c>
      <c r="B2043">
        <v>119</v>
      </c>
      <c r="C2043">
        <v>408</v>
      </c>
      <c r="D2043" t="s">
        <v>29</v>
      </c>
      <c r="E2043" t="s">
        <v>29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19.760000000000002</v>
      </c>
      <c r="M2043">
        <v>195</v>
      </c>
      <c r="N2043">
        <v>64</v>
      </c>
      <c r="O2043">
        <v>8.7799999999999994</v>
      </c>
      <c r="P2043">
        <v>9</v>
      </c>
      <c r="Q2043">
        <v>1</v>
      </c>
      <c r="R2043">
        <v>2.4300000000000002</v>
      </c>
      <c r="S2043">
        <v>0</v>
      </c>
      <c r="T2043" t="b">
        <v>1</v>
      </c>
    </row>
    <row r="2044" spans="1:20" x14ac:dyDescent="0.25">
      <c r="A2044" t="s">
        <v>64</v>
      </c>
      <c r="B2044">
        <v>122</v>
      </c>
      <c r="C2044">
        <v>415</v>
      </c>
      <c r="D2044" t="s">
        <v>29</v>
      </c>
      <c r="E2044" t="s">
        <v>29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 x14ac:dyDescent="0.25">
      <c r="A2045" t="s">
        <v>49</v>
      </c>
      <c r="B2045">
        <v>34</v>
      </c>
      <c r="C2045">
        <v>408</v>
      </c>
      <c r="D2045" t="s">
        <v>29</v>
      </c>
      <c r="E2045" t="s">
        <v>29</v>
      </c>
      <c r="F2045">
        <v>0</v>
      </c>
      <c r="G2045">
        <v>128.80000000000001</v>
      </c>
      <c r="H2045">
        <v>80</v>
      </c>
      <c r="I2045">
        <v>21.9</v>
      </c>
      <c r="J2045">
        <v>208.7</v>
      </c>
      <c r="K2045">
        <v>93</v>
      </c>
      <c r="L2045">
        <v>17.739999999999998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 x14ac:dyDescent="0.25">
      <c r="A2046" t="s">
        <v>45</v>
      </c>
      <c r="B2046">
        <v>90</v>
      </c>
      <c r="C2046">
        <v>415</v>
      </c>
      <c r="D2046" t="s">
        <v>29</v>
      </c>
      <c r="E2046" t="s">
        <v>30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 x14ac:dyDescent="0.25">
      <c r="A2047" t="s">
        <v>71</v>
      </c>
      <c r="B2047">
        <v>73</v>
      </c>
      <c r="C2047">
        <v>408</v>
      </c>
      <c r="D2047" t="s">
        <v>29</v>
      </c>
      <c r="E2047" t="s">
        <v>29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 x14ac:dyDescent="0.25">
      <c r="A2048" t="s">
        <v>75</v>
      </c>
      <c r="B2048">
        <v>19</v>
      </c>
      <c r="C2048">
        <v>510</v>
      </c>
      <c r="D2048" t="s">
        <v>29</v>
      </c>
      <c r="E2048" t="s">
        <v>29</v>
      </c>
      <c r="F2048">
        <v>0</v>
      </c>
      <c r="G2048">
        <v>259.39999999999998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 x14ac:dyDescent="0.25">
      <c r="A2049" t="s">
        <v>65</v>
      </c>
      <c r="B2049">
        <v>120</v>
      </c>
      <c r="C2049">
        <v>408</v>
      </c>
      <c r="D2049" t="s">
        <v>29</v>
      </c>
      <c r="E2049" t="s">
        <v>30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 x14ac:dyDescent="0.25">
      <c r="A2050" t="s">
        <v>40</v>
      </c>
      <c r="B2050">
        <v>160</v>
      </c>
      <c r="C2050">
        <v>415</v>
      </c>
      <c r="D2050" t="s">
        <v>29</v>
      </c>
      <c r="E2050" t="s">
        <v>29</v>
      </c>
      <c r="F2050">
        <v>0</v>
      </c>
      <c r="G2050">
        <v>97.5</v>
      </c>
      <c r="H2050">
        <v>113</v>
      </c>
      <c r="I2050">
        <v>16.579999999999998</v>
      </c>
      <c r="J2050">
        <v>268.10000000000002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 x14ac:dyDescent="0.25">
      <c r="A2051" t="s">
        <v>77</v>
      </c>
      <c r="B2051">
        <v>141</v>
      </c>
      <c r="C2051">
        <v>510</v>
      </c>
      <c r="D2051" t="s">
        <v>29</v>
      </c>
      <c r="E2051" t="s">
        <v>29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8.1999999999999993</v>
      </c>
      <c r="Q2051">
        <v>5</v>
      </c>
      <c r="R2051">
        <v>2.21</v>
      </c>
      <c r="S2051">
        <v>0</v>
      </c>
      <c r="T2051" t="b">
        <v>0</v>
      </c>
    </row>
    <row r="2052" spans="1:20" x14ac:dyDescent="0.25">
      <c r="A2052" t="s">
        <v>42</v>
      </c>
      <c r="B2052">
        <v>72</v>
      </c>
      <c r="C2052">
        <v>415</v>
      </c>
      <c r="D2052" t="s">
        <v>29</v>
      </c>
      <c r="E2052" t="s">
        <v>29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19.010000000000002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 x14ac:dyDescent="0.25">
      <c r="A2053" t="s">
        <v>66</v>
      </c>
      <c r="B2053">
        <v>117</v>
      </c>
      <c r="C2053">
        <v>408</v>
      </c>
      <c r="D2053" t="s">
        <v>29</v>
      </c>
      <c r="E2053" t="s">
        <v>30</v>
      </c>
      <c r="F2053">
        <v>21</v>
      </c>
      <c r="G2053">
        <v>153.19999999999999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 x14ac:dyDescent="0.25">
      <c r="A2054" t="s">
        <v>50</v>
      </c>
      <c r="B2054">
        <v>79</v>
      </c>
      <c r="C2054">
        <v>408</v>
      </c>
      <c r="D2054" t="s">
        <v>30</v>
      </c>
      <c r="E2054" t="s">
        <v>29</v>
      </c>
      <c r="F2054">
        <v>0</v>
      </c>
      <c r="G2054">
        <v>103.5</v>
      </c>
      <c r="H2054">
        <v>134</v>
      </c>
      <c r="I2054">
        <v>17.600000000000001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 x14ac:dyDescent="0.25">
      <c r="A2055" t="s">
        <v>56</v>
      </c>
      <c r="B2055">
        <v>87</v>
      </c>
      <c r="C2055">
        <v>408</v>
      </c>
      <c r="D2055" t="s">
        <v>29</v>
      </c>
      <c r="E2055" t="s">
        <v>29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16.350000000000001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 x14ac:dyDescent="0.25">
      <c r="A2056" t="s">
        <v>55</v>
      </c>
      <c r="B2056">
        <v>102</v>
      </c>
      <c r="C2056">
        <v>415</v>
      </c>
      <c r="D2056" t="s">
        <v>29</v>
      </c>
      <c r="E2056" t="s">
        <v>29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 x14ac:dyDescent="0.25">
      <c r="A2057" t="s">
        <v>40</v>
      </c>
      <c r="B2057">
        <v>49</v>
      </c>
      <c r="C2057">
        <v>408</v>
      </c>
      <c r="D2057" t="s">
        <v>29</v>
      </c>
      <c r="E2057" t="s">
        <v>29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146.80000000000001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 x14ac:dyDescent="0.25">
      <c r="A2058" t="s">
        <v>42</v>
      </c>
      <c r="B2058">
        <v>67</v>
      </c>
      <c r="C2058">
        <v>408</v>
      </c>
      <c r="D2058" t="s">
        <v>29</v>
      </c>
      <c r="E2058" t="s">
        <v>29</v>
      </c>
      <c r="F2058">
        <v>0</v>
      </c>
      <c r="G2058">
        <v>260.39999999999998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 x14ac:dyDescent="0.25">
      <c r="A2059" t="s">
        <v>46</v>
      </c>
      <c r="B2059">
        <v>107</v>
      </c>
      <c r="C2059">
        <v>415</v>
      </c>
      <c r="D2059" t="s">
        <v>29</v>
      </c>
      <c r="E2059" t="s">
        <v>29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8.3699999999999992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 x14ac:dyDescent="0.25">
      <c r="A2060" t="s">
        <v>65</v>
      </c>
      <c r="B2060">
        <v>118</v>
      </c>
      <c r="C2060">
        <v>510</v>
      </c>
      <c r="D2060" t="s">
        <v>29</v>
      </c>
      <c r="E2060" t="s">
        <v>29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 x14ac:dyDescent="0.25">
      <c r="A2061" t="s">
        <v>76</v>
      </c>
      <c r="B2061">
        <v>120</v>
      </c>
      <c r="C2061">
        <v>415</v>
      </c>
      <c r="D2061" t="s">
        <v>29</v>
      </c>
      <c r="E2061" t="s">
        <v>29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256.39999999999998</v>
      </c>
      <c r="N2061">
        <v>78</v>
      </c>
      <c r="O2061">
        <v>11.54</v>
      </c>
      <c r="P2061">
        <v>16.899999999999999</v>
      </c>
      <c r="Q2061">
        <v>6</v>
      </c>
      <c r="R2061">
        <v>4.5599999999999996</v>
      </c>
      <c r="S2061">
        <v>0</v>
      </c>
      <c r="T2061" t="b">
        <v>0</v>
      </c>
    </row>
    <row r="2062" spans="1:20" x14ac:dyDescent="0.25">
      <c r="A2062" t="s">
        <v>56</v>
      </c>
      <c r="B2062">
        <v>94</v>
      </c>
      <c r="C2062">
        <v>408</v>
      </c>
      <c r="D2062" t="s">
        <v>29</v>
      </c>
      <c r="E2062" t="s">
        <v>29</v>
      </c>
      <c r="F2062">
        <v>0</v>
      </c>
      <c r="G2062">
        <v>136.19999999999999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 x14ac:dyDescent="0.25">
      <c r="A2063" t="s">
        <v>69</v>
      </c>
      <c r="B2063">
        <v>115</v>
      </c>
      <c r="C2063">
        <v>510</v>
      </c>
      <c r="D2063" t="s">
        <v>29</v>
      </c>
      <c r="E2063" t="s">
        <v>30</v>
      </c>
      <c r="F2063">
        <v>29</v>
      </c>
      <c r="G2063">
        <v>222.6</v>
      </c>
      <c r="H2063">
        <v>81</v>
      </c>
      <c r="I2063">
        <v>37.840000000000003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9.0500000000000007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 x14ac:dyDescent="0.25">
      <c r="A2064" t="s">
        <v>66</v>
      </c>
      <c r="B2064">
        <v>61</v>
      </c>
      <c r="C2064">
        <v>415</v>
      </c>
      <c r="D2064" t="s">
        <v>29</v>
      </c>
      <c r="E2064" t="s">
        <v>29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9.4700000000000006</v>
      </c>
      <c r="P2064">
        <v>9</v>
      </c>
      <c r="Q2064">
        <v>6</v>
      </c>
      <c r="R2064">
        <v>2.4300000000000002</v>
      </c>
      <c r="S2064">
        <v>1</v>
      </c>
      <c r="T2064" t="b">
        <v>0</v>
      </c>
    </row>
    <row r="2065" spans="1:20" x14ac:dyDescent="0.25">
      <c r="A2065" t="s">
        <v>28</v>
      </c>
      <c r="B2065">
        <v>110</v>
      </c>
      <c r="C2065">
        <v>510</v>
      </c>
      <c r="D2065" t="s">
        <v>29</v>
      </c>
      <c r="E2065" t="s">
        <v>29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8.0299999999999994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 x14ac:dyDescent="0.25">
      <c r="A2066" t="s">
        <v>79</v>
      </c>
      <c r="B2066">
        <v>104</v>
      </c>
      <c r="C2066">
        <v>415</v>
      </c>
      <c r="D2066" t="s">
        <v>29</v>
      </c>
      <c r="E2066" t="s">
        <v>29</v>
      </c>
      <c r="F2066">
        <v>0</v>
      </c>
      <c r="G2066">
        <v>118.5</v>
      </c>
      <c r="H2066">
        <v>92</v>
      </c>
      <c r="I2066">
        <v>20.149999999999999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 x14ac:dyDescent="0.25">
      <c r="A2067" t="s">
        <v>40</v>
      </c>
      <c r="B2067">
        <v>16</v>
      </c>
      <c r="C2067">
        <v>510</v>
      </c>
      <c r="D2067" t="s">
        <v>29</v>
      </c>
      <c r="E2067" t="s">
        <v>29</v>
      </c>
      <c r="F2067">
        <v>0</v>
      </c>
      <c r="G2067">
        <v>153.19999999999999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148.19999999999999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 x14ac:dyDescent="0.25">
      <c r="A2068" t="s">
        <v>69</v>
      </c>
      <c r="B2068">
        <v>147</v>
      </c>
      <c r="C2068">
        <v>408</v>
      </c>
      <c r="D2068" t="s">
        <v>29</v>
      </c>
      <c r="E2068" t="s">
        <v>29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 x14ac:dyDescent="0.25">
      <c r="A2069" t="s">
        <v>73</v>
      </c>
      <c r="B2069">
        <v>102</v>
      </c>
      <c r="C2069">
        <v>510</v>
      </c>
      <c r="D2069" t="s">
        <v>30</v>
      </c>
      <c r="E2069" t="s">
        <v>29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147.80000000000001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 x14ac:dyDescent="0.25">
      <c r="A2070" t="s">
        <v>39</v>
      </c>
      <c r="B2070">
        <v>64</v>
      </c>
      <c r="C2070">
        <v>415</v>
      </c>
      <c r="D2070" t="s">
        <v>29</v>
      </c>
      <c r="E2070" t="s">
        <v>30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2.2999999999999998</v>
      </c>
      <c r="S2070">
        <v>1</v>
      </c>
      <c r="T2070" t="b">
        <v>0</v>
      </c>
    </row>
    <row r="2071" spans="1:20" x14ac:dyDescent="0.25">
      <c r="A2071" t="s">
        <v>54</v>
      </c>
      <c r="B2071">
        <v>103</v>
      </c>
      <c r="C2071">
        <v>510</v>
      </c>
      <c r="D2071" t="s">
        <v>29</v>
      </c>
      <c r="E2071" t="s">
        <v>29</v>
      </c>
      <c r="F2071">
        <v>0</v>
      </c>
      <c r="G2071">
        <v>190.9</v>
      </c>
      <c r="H2071">
        <v>62</v>
      </c>
      <c r="I2071">
        <v>32.450000000000003</v>
      </c>
      <c r="J2071">
        <v>226.6</v>
      </c>
      <c r="K2071">
        <v>53</v>
      </c>
      <c r="L2071">
        <v>19.260000000000002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 x14ac:dyDescent="0.25">
      <c r="A2072" t="s">
        <v>66</v>
      </c>
      <c r="B2072">
        <v>152</v>
      </c>
      <c r="C2072">
        <v>415</v>
      </c>
      <c r="D2072" t="s">
        <v>29</v>
      </c>
      <c r="E2072" t="s">
        <v>29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 x14ac:dyDescent="0.25">
      <c r="A2073" t="s">
        <v>37</v>
      </c>
      <c r="B2073">
        <v>124</v>
      </c>
      <c r="C2073">
        <v>415</v>
      </c>
      <c r="D2073" t="s">
        <v>29</v>
      </c>
      <c r="E2073" t="s">
        <v>29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 x14ac:dyDescent="0.25">
      <c r="A2074" t="s">
        <v>58</v>
      </c>
      <c r="B2074">
        <v>97</v>
      </c>
      <c r="C2074">
        <v>415</v>
      </c>
      <c r="D2074" t="s">
        <v>29</v>
      </c>
      <c r="E2074" t="s">
        <v>29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17.260000000000002</v>
      </c>
      <c r="M2074">
        <v>151.80000000000001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 x14ac:dyDescent="0.25">
      <c r="A2075" t="s">
        <v>73</v>
      </c>
      <c r="B2075">
        <v>131</v>
      </c>
      <c r="C2075">
        <v>415</v>
      </c>
      <c r="D2075" t="s">
        <v>29</v>
      </c>
      <c r="E2075" t="s">
        <v>29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4.1900000000000004</v>
      </c>
      <c r="S2075">
        <v>1</v>
      </c>
      <c r="T2075" t="b">
        <v>1</v>
      </c>
    </row>
    <row r="2076" spans="1:20" x14ac:dyDescent="0.25">
      <c r="A2076" t="s">
        <v>72</v>
      </c>
      <c r="B2076">
        <v>57</v>
      </c>
      <c r="C2076">
        <v>415</v>
      </c>
      <c r="D2076" t="s">
        <v>29</v>
      </c>
      <c r="E2076" t="s">
        <v>30</v>
      </c>
      <c r="F2076">
        <v>33</v>
      </c>
      <c r="G2076">
        <v>193.4</v>
      </c>
      <c r="H2076">
        <v>105</v>
      </c>
      <c r="I2076">
        <v>32.880000000000003</v>
      </c>
      <c r="J2076">
        <v>231.6</v>
      </c>
      <c r="K2076">
        <v>79</v>
      </c>
      <c r="L2076">
        <v>19.690000000000001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 x14ac:dyDescent="0.25">
      <c r="A2077" t="s">
        <v>66</v>
      </c>
      <c r="B2077">
        <v>157</v>
      </c>
      <c r="C2077">
        <v>510</v>
      </c>
      <c r="D2077" t="s">
        <v>29</v>
      </c>
      <c r="E2077" t="s">
        <v>29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2.2999999999999998</v>
      </c>
      <c r="S2077">
        <v>2</v>
      </c>
      <c r="T2077" t="b">
        <v>0</v>
      </c>
    </row>
    <row r="2078" spans="1:20" x14ac:dyDescent="0.25">
      <c r="A2078" t="s">
        <v>53</v>
      </c>
      <c r="B2078">
        <v>194</v>
      </c>
      <c r="C2078">
        <v>510</v>
      </c>
      <c r="D2078" t="s">
        <v>29</v>
      </c>
      <c r="E2078" t="s">
        <v>29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10.130000000000001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 x14ac:dyDescent="0.25">
      <c r="A2079" t="s">
        <v>69</v>
      </c>
      <c r="B2079">
        <v>66</v>
      </c>
      <c r="C2079">
        <v>415</v>
      </c>
      <c r="D2079" t="s">
        <v>29</v>
      </c>
      <c r="E2079" t="s">
        <v>29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 x14ac:dyDescent="0.25">
      <c r="A2080" t="s">
        <v>70</v>
      </c>
      <c r="B2080">
        <v>123</v>
      </c>
      <c r="C2080">
        <v>415</v>
      </c>
      <c r="D2080" t="s">
        <v>29</v>
      </c>
      <c r="E2080" t="s">
        <v>29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16.149999999999999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 x14ac:dyDescent="0.25">
      <c r="A2081" t="s">
        <v>33</v>
      </c>
      <c r="B2081">
        <v>116</v>
      </c>
      <c r="C2081">
        <v>510</v>
      </c>
      <c r="D2081" t="s">
        <v>29</v>
      </c>
      <c r="E2081" t="s">
        <v>29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272.60000000000002</v>
      </c>
      <c r="N2081">
        <v>96</v>
      </c>
      <c r="O2081">
        <v>12.27</v>
      </c>
      <c r="P2081">
        <v>7.5</v>
      </c>
      <c r="Q2081">
        <v>4</v>
      </c>
      <c r="R2081">
        <v>2.0299999999999998</v>
      </c>
      <c r="S2081">
        <v>2</v>
      </c>
      <c r="T2081" t="b">
        <v>0</v>
      </c>
    </row>
    <row r="2082" spans="1:20" x14ac:dyDescent="0.25">
      <c r="A2082" t="s">
        <v>33</v>
      </c>
      <c r="B2082">
        <v>63</v>
      </c>
      <c r="C2082">
        <v>415</v>
      </c>
      <c r="D2082" t="s">
        <v>29</v>
      </c>
      <c r="E2082" t="s">
        <v>29</v>
      </c>
      <c r="F2082">
        <v>0</v>
      </c>
      <c r="G2082">
        <v>128.69999999999999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 x14ac:dyDescent="0.25">
      <c r="A2083" t="s">
        <v>53</v>
      </c>
      <c r="B2083">
        <v>64</v>
      </c>
      <c r="C2083">
        <v>510</v>
      </c>
      <c r="D2083" t="s">
        <v>29</v>
      </c>
      <c r="E2083" t="s">
        <v>29</v>
      </c>
      <c r="F2083">
        <v>0</v>
      </c>
      <c r="G2083">
        <v>216.9</v>
      </c>
      <c r="H2083">
        <v>78</v>
      </c>
      <c r="I2083">
        <v>36.869999999999997</v>
      </c>
      <c r="J2083">
        <v>211</v>
      </c>
      <c r="K2083">
        <v>115</v>
      </c>
      <c r="L2083">
        <v>17.940000000000001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 x14ac:dyDescent="0.25">
      <c r="A2084" t="s">
        <v>32</v>
      </c>
      <c r="B2084">
        <v>96</v>
      </c>
      <c r="C2084">
        <v>510</v>
      </c>
      <c r="D2084" t="s">
        <v>29</v>
      </c>
      <c r="E2084" t="s">
        <v>29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9.8000000000000007</v>
      </c>
      <c r="Q2084">
        <v>1</v>
      </c>
      <c r="R2084">
        <v>2.65</v>
      </c>
      <c r="S2084">
        <v>3</v>
      </c>
      <c r="T2084" t="b">
        <v>0</v>
      </c>
    </row>
    <row r="2085" spans="1:20" x14ac:dyDescent="0.25">
      <c r="A2085" t="s">
        <v>72</v>
      </c>
      <c r="B2085">
        <v>105</v>
      </c>
      <c r="C2085">
        <v>510</v>
      </c>
      <c r="D2085" t="s">
        <v>29</v>
      </c>
      <c r="E2085" t="s">
        <v>29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19.260000000000002</v>
      </c>
      <c r="M2085">
        <v>193.6</v>
      </c>
      <c r="N2085">
        <v>114</v>
      </c>
      <c r="O2085">
        <v>8.7100000000000009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 x14ac:dyDescent="0.25">
      <c r="A2086" t="s">
        <v>74</v>
      </c>
      <c r="B2086">
        <v>53</v>
      </c>
      <c r="C2086">
        <v>510</v>
      </c>
      <c r="D2086" t="s">
        <v>29</v>
      </c>
      <c r="E2086" t="s">
        <v>30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 x14ac:dyDescent="0.25">
      <c r="A2087" t="s">
        <v>48</v>
      </c>
      <c r="B2087">
        <v>129</v>
      </c>
      <c r="C2087">
        <v>510</v>
      </c>
      <c r="D2087" t="s">
        <v>29</v>
      </c>
      <c r="E2087" t="s">
        <v>30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9.3000000000000007</v>
      </c>
      <c r="Q2087">
        <v>7</v>
      </c>
      <c r="R2087">
        <v>2.5099999999999998</v>
      </c>
      <c r="S2087">
        <v>3</v>
      </c>
      <c r="T2087" t="b">
        <v>0</v>
      </c>
    </row>
    <row r="2088" spans="1:20" x14ac:dyDescent="0.25">
      <c r="A2088" t="s">
        <v>42</v>
      </c>
      <c r="B2088">
        <v>93</v>
      </c>
      <c r="C2088">
        <v>408</v>
      </c>
      <c r="D2088" t="s">
        <v>29</v>
      </c>
      <c r="E2088" t="s">
        <v>29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17.059999999999999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 x14ac:dyDescent="0.25">
      <c r="A2089" t="s">
        <v>31</v>
      </c>
      <c r="B2089">
        <v>115</v>
      </c>
      <c r="C2089">
        <v>510</v>
      </c>
      <c r="D2089" t="s">
        <v>30</v>
      </c>
      <c r="E2089" t="s">
        <v>29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9.7899999999999991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 x14ac:dyDescent="0.25">
      <c r="A2090" t="s">
        <v>34</v>
      </c>
      <c r="B2090">
        <v>25</v>
      </c>
      <c r="C2090">
        <v>408</v>
      </c>
      <c r="D2090" t="s">
        <v>29</v>
      </c>
      <c r="E2090" t="s">
        <v>29</v>
      </c>
      <c r="F2090">
        <v>0</v>
      </c>
      <c r="G2090">
        <v>264.89999999999998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 x14ac:dyDescent="0.25">
      <c r="A2091" t="s">
        <v>69</v>
      </c>
      <c r="B2091">
        <v>73</v>
      </c>
      <c r="C2091">
        <v>408</v>
      </c>
      <c r="D2091" t="s">
        <v>29</v>
      </c>
      <c r="E2091" t="s">
        <v>29</v>
      </c>
      <c r="F2091">
        <v>0</v>
      </c>
      <c r="G2091">
        <v>122</v>
      </c>
      <c r="H2091">
        <v>92</v>
      </c>
      <c r="I2091">
        <v>20.74</v>
      </c>
      <c r="J2091">
        <v>138.30000000000001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 x14ac:dyDescent="0.25">
      <c r="A2092" t="s">
        <v>59</v>
      </c>
      <c r="B2092">
        <v>97</v>
      </c>
      <c r="C2092">
        <v>510</v>
      </c>
      <c r="D2092" t="s">
        <v>29</v>
      </c>
      <c r="E2092" t="s">
        <v>29</v>
      </c>
      <c r="F2092">
        <v>0</v>
      </c>
      <c r="G2092">
        <v>225.1</v>
      </c>
      <c r="H2092">
        <v>90</v>
      </c>
      <c r="I2092">
        <v>38.270000000000003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8.8000000000000007</v>
      </c>
      <c r="Q2092">
        <v>4</v>
      </c>
      <c r="R2092">
        <v>2.38</v>
      </c>
      <c r="S2092">
        <v>0</v>
      </c>
      <c r="T2092" t="b">
        <v>1</v>
      </c>
    </row>
    <row r="2093" spans="1:20" x14ac:dyDescent="0.25">
      <c r="A2093" t="s">
        <v>70</v>
      </c>
      <c r="B2093">
        <v>148</v>
      </c>
      <c r="C2093">
        <v>408</v>
      </c>
      <c r="D2093" t="s">
        <v>29</v>
      </c>
      <c r="E2093" t="s">
        <v>29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 x14ac:dyDescent="0.25">
      <c r="A2094" t="s">
        <v>34</v>
      </c>
      <c r="B2094">
        <v>85</v>
      </c>
      <c r="C2094">
        <v>408</v>
      </c>
      <c r="D2094" t="s">
        <v>29</v>
      </c>
      <c r="E2094" t="s">
        <v>30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158.69999999999999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 x14ac:dyDescent="0.25">
      <c r="A2095" t="s">
        <v>33</v>
      </c>
      <c r="B2095">
        <v>86</v>
      </c>
      <c r="C2095">
        <v>510</v>
      </c>
      <c r="D2095" t="s">
        <v>30</v>
      </c>
      <c r="E2095" t="s">
        <v>29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 x14ac:dyDescent="0.25">
      <c r="A2096" t="s">
        <v>73</v>
      </c>
      <c r="B2096">
        <v>78</v>
      </c>
      <c r="C2096">
        <v>415</v>
      </c>
      <c r="D2096" t="s">
        <v>29</v>
      </c>
      <c r="E2096" t="s">
        <v>30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 x14ac:dyDescent="0.25">
      <c r="A2097" t="s">
        <v>55</v>
      </c>
      <c r="B2097">
        <v>106</v>
      </c>
      <c r="C2097">
        <v>415</v>
      </c>
      <c r="D2097" t="s">
        <v>29</v>
      </c>
      <c r="E2097" t="s">
        <v>29</v>
      </c>
      <c r="F2097">
        <v>0</v>
      </c>
      <c r="G2097">
        <v>208.3</v>
      </c>
      <c r="H2097">
        <v>89</v>
      </c>
      <c r="I2097">
        <v>35.409999999999997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 x14ac:dyDescent="0.25">
      <c r="A2098" t="s">
        <v>56</v>
      </c>
      <c r="B2098">
        <v>145</v>
      </c>
      <c r="C2098">
        <v>415</v>
      </c>
      <c r="D2098" t="s">
        <v>29</v>
      </c>
      <c r="E2098" t="s">
        <v>29</v>
      </c>
      <c r="F2098">
        <v>0</v>
      </c>
      <c r="G2098">
        <v>224.2</v>
      </c>
      <c r="H2098">
        <v>89</v>
      </c>
      <c r="I2098">
        <v>38.11</v>
      </c>
      <c r="J2098">
        <v>314.89999999999998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16.100000000000001</v>
      </c>
      <c r="Q2098">
        <v>3</v>
      </c>
      <c r="R2098">
        <v>4.3499999999999996</v>
      </c>
      <c r="S2098">
        <v>1</v>
      </c>
      <c r="T2098" t="b">
        <v>1</v>
      </c>
    </row>
    <row r="2099" spans="1:20" x14ac:dyDescent="0.25">
      <c r="A2099" t="s">
        <v>50</v>
      </c>
      <c r="B2099">
        <v>91</v>
      </c>
      <c r="C2099">
        <v>415</v>
      </c>
      <c r="D2099" t="s">
        <v>29</v>
      </c>
      <c r="E2099" t="s">
        <v>29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 x14ac:dyDescent="0.25">
      <c r="A2100" t="s">
        <v>61</v>
      </c>
      <c r="B2100">
        <v>116</v>
      </c>
      <c r="C2100">
        <v>415</v>
      </c>
      <c r="D2100" t="s">
        <v>29</v>
      </c>
      <c r="E2100" t="s">
        <v>30</v>
      </c>
      <c r="F2100">
        <v>24</v>
      </c>
      <c r="G2100">
        <v>232.9</v>
      </c>
      <c r="H2100">
        <v>90</v>
      </c>
      <c r="I2100">
        <v>39.590000000000003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 x14ac:dyDescent="0.25">
      <c r="A2101" t="s">
        <v>52</v>
      </c>
      <c r="B2101">
        <v>69</v>
      </c>
      <c r="C2101">
        <v>415</v>
      </c>
      <c r="D2101" t="s">
        <v>29</v>
      </c>
      <c r="E2101" t="s">
        <v>30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143.69999999999999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 x14ac:dyDescent="0.25">
      <c r="A2102" t="s">
        <v>41</v>
      </c>
      <c r="B2102">
        <v>135</v>
      </c>
      <c r="C2102">
        <v>510</v>
      </c>
      <c r="D2102" t="s">
        <v>29</v>
      </c>
      <c r="E2102" t="s">
        <v>29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158.69999999999999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 x14ac:dyDescent="0.25">
      <c r="A2103" t="s">
        <v>71</v>
      </c>
      <c r="B2103">
        <v>73</v>
      </c>
      <c r="C2103">
        <v>510</v>
      </c>
      <c r="D2103" t="s">
        <v>29</v>
      </c>
      <c r="E2103" t="s">
        <v>29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 x14ac:dyDescent="0.25">
      <c r="A2104" t="s">
        <v>74</v>
      </c>
      <c r="B2104">
        <v>48</v>
      </c>
      <c r="C2104">
        <v>415</v>
      </c>
      <c r="D2104" t="s">
        <v>29</v>
      </c>
      <c r="E2104" t="s">
        <v>29</v>
      </c>
      <c r="F2104">
        <v>0</v>
      </c>
      <c r="G2104">
        <v>240</v>
      </c>
      <c r="H2104">
        <v>88</v>
      </c>
      <c r="I2104">
        <v>40.799999999999997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 x14ac:dyDescent="0.25">
      <c r="A2105" t="s">
        <v>51</v>
      </c>
      <c r="B2105">
        <v>125</v>
      </c>
      <c r="C2105">
        <v>415</v>
      </c>
      <c r="D2105" t="s">
        <v>30</v>
      </c>
      <c r="E2105" t="s">
        <v>29</v>
      </c>
      <c r="F2105">
        <v>0</v>
      </c>
      <c r="G2105">
        <v>298.39999999999998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 x14ac:dyDescent="0.25">
      <c r="A2106" t="s">
        <v>37</v>
      </c>
      <c r="B2106">
        <v>100</v>
      </c>
      <c r="C2106">
        <v>415</v>
      </c>
      <c r="D2106" t="s">
        <v>29</v>
      </c>
      <c r="E2106" t="s">
        <v>29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134.30000000000001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 x14ac:dyDescent="0.25">
      <c r="A2107" t="s">
        <v>63</v>
      </c>
      <c r="B2107">
        <v>64</v>
      </c>
      <c r="C2107">
        <v>415</v>
      </c>
      <c r="D2107" t="s">
        <v>29</v>
      </c>
      <c r="E2107" t="s">
        <v>29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 x14ac:dyDescent="0.25">
      <c r="A2108" t="s">
        <v>55</v>
      </c>
      <c r="B2108">
        <v>116</v>
      </c>
      <c r="C2108">
        <v>510</v>
      </c>
      <c r="D2108" t="s">
        <v>30</v>
      </c>
      <c r="E2108" t="s">
        <v>30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17.899999999999999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 x14ac:dyDescent="0.25">
      <c r="A2109" t="s">
        <v>79</v>
      </c>
      <c r="B2109">
        <v>147</v>
      </c>
      <c r="C2109">
        <v>408</v>
      </c>
      <c r="D2109" t="s">
        <v>30</v>
      </c>
      <c r="E2109" t="s">
        <v>30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10.220000000000001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 x14ac:dyDescent="0.25">
      <c r="A2110" t="s">
        <v>36</v>
      </c>
      <c r="B2110">
        <v>84</v>
      </c>
      <c r="C2110">
        <v>415</v>
      </c>
      <c r="D2110" t="s">
        <v>29</v>
      </c>
      <c r="E2110" t="s">
        <v>30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2.0299999999999998</v>
      </c>
      <c r="S2110">
        <v>4</v>
      </c>
      <c r="T2110" t="b">
        <v>0</v>
      </c>
    </row>
    <row r="2111" spans="1:20" x14ac:dyDescent="0.25">
      <c r="A2111" t="s">
        <v>50</v>
      </c>
      <c r="B2111">
        <v>86</v>
      </c>
      <c r="C2111">
        <v>510</v>
      </c>
      <c r="D2111" t="s">
        <v>29</v>
      </c>
      <c r="E2111" t="s">
        <v>30</v>
      </c>
      <c r="F2111">
        <v>16</v>
      </c>
      <c r="G2111">
        <v>144.80000000000001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 x14ac:dyDescent="0.25">
      <c r="A2112" t="s">
        <v>61</v>
      </c>
      <c r="B2112">
        <v>134</v>
      </c>
      <c r="C2112">
        <v>415</v>
      </c>
      <c r="D2112" t="s">
        <v>29</v>
      </c>
      <c r="E2112" t="s">
        <v>29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8.7100000000000009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 x14ac:dyDescent="0.25">
      <c r="A2113" t="s">
        <v>74</v>
      </c>
      <c r="B2113">
        <v>105</v>
      </c>
      <c r="C2113">
        <v>415</v>
      </c>
      <c r="D2113" t="s">
        <v>29</v>
      </c>
      <c r="E2113" t="s">
        <v>29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 x14ac:dyDescent="0.25">
      <c r="A2114" t="s">
        <v>56</v>
      </c>
      <c r="B2114">
        <v>88</v>
      </c>
      <c r="C2114">
        <v>408</v>
      </c>
      <c r="D2114" t="s">
        <v>29</v>
      </c>
      <c r="E2114" t="s">
        <v>29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 x14ac:dyDescent="0.25">
      <c r="A2115" t="s">
        <v>54</v>
      </c>
      <c r="B2115">
        <v>86</v>
      </c>
      <c r="C2115">
        <v>408</v>
      </c>
      <c r="D2115" t="s">
        <v>29</v>
      </c>
      <c r="E2115" t="s">
        <v>29</v>
      </c>
      <c r="F2115">
        <v>0</v>
      </c>
      <c r="G2115">
        <v>150.80000000000001</v>
      </c>
      <c r="H2115">
        <v>85</v>
      </c>
      <c r="I2115">
        <v>25.64</v>
      </c>
      <c r="J2115">
        <v>295.89999999999998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 x14ac:dyDescent="0.25">
      <c r="A2116" t="s">
        <v>51</v>
      </c>
      <c r="B2116">
        <v>141</v>
      </c>
      <c r="C2116">
        <v>415</v>
      </c>
      <c r="D2116" t="s">
        <v>29</v>
      </c>
      <c r="E2116" t="s">
        <v>30</v>
      </c>
      <c r="F2116">
        <v>32</v>
      </c>
      <c r="G2116">
        <v>322.39999999999998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 x14ac:dyDescent="0.25">
      <c r="A2117" t="s">
        <v>67</v>
      </c>
      <c r="B2117">
        <v>148</v>
      </c>
      <c r="C2117">
        <v>408</v>
      </c>
      <c r="D2117" t="s">
        <v>29</v>
      </c>
      <c r="E2117" t="s">
        <v>29</v>
      </c>
      <c r="F2117">
        <v>0</v>
      </c>
      <c r="G2117">
        <v>153.6</v>
      </c>
      <c r="H2117">
        <v>148</v>
      </c>
      <c r="I2117">
        <v>26.11</v>
      </c>
      <c r="J2117">
        <v>262.10000000000002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9.8000000000000007</v>
      </c>
      <c r="Q2117">
        <v>3</v>
      </c>
      <c r="R2117">
        <v>2.65</v>
      </c>
      <c r="S2117">
        <v>2</v>
      </c>
      <c r="T2117" t="b">
        <v>0</v>
      </c>
    </row>
    <row r="2118" spans="1:20" x14ac:dyDescent="0.25">
      <c r="A2118" t="s">
        <v>66</v>
      </c>
      <c r="B2118">
        <v>163</v>
      </c>
      <c r="C2118">
        <v>408</v>
      </c>
      <c r="D2118" t="s">
        <v>29</v>
      </c>
      <c r="E2118" t="s">
        <v>30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146.19999999999999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 x14ac:dyDescent="0.25">
      <c r="A2119" t="s">
        <v>39</v>
      </c>
      <c r="B2119">
        <v>89</v>
      </c>
      <c r="C2119">
        <v>415</v>
      </c>
      <c r="D2119" t="s">
        <v>29</v>
      </c>
      <c r="E2119" t="s">
        <v>30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 x14ac:dyDescent="0.25">
      <c r="A2120" t="s">
        <v>38</v>
      </c>
      <c r="B2120">
        <v>63</v>
      </c>
      <c r="C2120">
        <v>415</v>
      </c>
      <c r="D2120" t="s">
        <v>29</v>
      </c>
      <c r="E2120" t="s">
        <v>29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 x14ac:dyDescent="0.25">
      <c r="A2121" t="s">
        <v>34</v>
      </c>
      <c r="B2121">
        <v>102</v>
      </c>
      <c r="C2121">
        <v>415</v>
      </c>
      <c r="D2121" t="s">
        <v>29</v>
      </c>
      <c r="E2121" t="s">
        <v>29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 x14ac:dyDescent="0.25">
      <c r="A2122" t="s">
        <v>63</v>
      </c>
      <c r="B2122">
        <v>104</v>
      </c>
      <c r="C2122">
        <v>408</v>
      </c>
      <c r="D2122" t="s">
        <v>29</v>
      </c>
      <c r="E2122" t="s">
        <v>29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 x14ac:dyDescent="0.25">
      <c r="A2123" t="s">
        <v>40</v>
      </c>
      <c r="B2123">
        <v>63</v>
      </c>
      <c r="C2123">
        <v>415</v>
      </c>
      <c r="D2123" t="s">
        <v>29</v>
      </c>
      <c r="E2123" t="s">
        <v>30</v>
      </c>
      <c r="F2123">
        <v>33</v>
      </c>
      <c r="G2123">
        <v>184.2</v>
      </c>
      <c r="H2123">
        <v>111</v>
      </c>
      <c r="I2123">
        <v>31.31</v>
      </c>
      <c r="J2123">
        <v>312.60000000000002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 x14ac:dyDescent="0.25">
      <c r="A2124" t="s">
        <v>71</v>
      </c>
      <c r="B2124">
        <v>105</v>
      </c>
      <c r="C2124">
        <v>415</v>
      </c>
      <c r="D2124" t="s">
        <v>29</v>
      </c>
      <c r="E2124" t="s">
        <v>30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299.60000000000002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 x14ac:dyDescent="0.25">
      <c r="A2125" t="s">
        <v>69</v>
      </c>
      <c r="B2125">
        <v>68</v>
      </c>
      <c r="C2125">
        <v>415</v>
      </c>
      <c r="D2125" t="s">
        <v>30</v>
      </c>
      <c r="E2125" t="s">
        <v>30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 x14ac:dyDescent="0.25">
      <c r="A2126" t="s">
        <v>46</v>
      </c>
      <c r="B2126">
        <v>63</v>
      </c>
      <c r="C2126">
        <v>408</v>
      </c>
      <c r="D2126" t="s">
        <v>30</v>
      </c>
      <c r="E2126" t="s">
        <v>30</v>
      </c>
      <c r="F2126">
        <v>21</v>
      </c>
      <c r="G2126">
        <v>151.5</v>
      </c>
      <c r="H2126">
        <v>99</v>
      </c>
      <c r="I2126">
        <v>25.76</v>
      </c>
      <c r="J2126">
        <v>147.80000000000001</v>
      </c>
      <c r="K2126">
        <v>89</v>
      </c>
      <c r="L2126">
        <v>12.56</v>
      </c>
      <c r="M2126">
        <v>210.4</v>
      </c>
      <c r="N2126">
        <v>114</v>
      </c>
      <c r="O2126">
        <v>9.4700000000000006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 x14ac:dyDescent="0.25">
      <c r="A2127" t="s">
        <v>28</v>
      </c>
      <c r="B2127">
        <v>91</v>
      </c>
      <c r="C2127">
        <v>408</v>
      </c>
      <c r="D2127" t="s">
        <v>30</v>
      </c>
      <c r="E2127" t="s">
        <v>29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 x14ac:dyDescent="0.25">
      <c r="A2128" t="s">
        <v>64</v>
      </c>
      <c r="B2128">
        <v>101</v>
      </c>
      <c r="C2128">
        <v>415</v>
      </c>
      <c r="D2128" t="s">
        <v>29</v>
      </c>
      <c r="E2128" t="s">
        <v>29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153.30000000000001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 x14ac:dyDescent="0.25">
      <c r="A2129" t="s">
        <v>75</v>
      </c>
      <c r="B2129">
        <v>116</v>
      </c>
      <c r="C2129">
        <v>408</v>
      </c>
      <c r="D2129" t="s">
        <v>29</v>
      </c>
      <c r="E2129" t="s">
        <v>29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 x14ac:dyDescent="0.25">
      <c r="A2130" t="s">
        <v>46</v>
      </c>
      <c r="B2130">
        <v>131</v>
      </c>
      <c r="C2130">
        <v>415</v>
      </c>
      <c r="D2130" t="s">
        <v>29</v>
      </c>
      <c r="E2130" t="s">
        <v>30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 x14ac:dyDescent="0.25">
      <c r="A2131" t="s">
        <v>66</v>
      </c>
      <c r="B2131">
        <v>84</v>
      </c>
      <c r="C2131">
        <v>415</v>
      </c>
      <c r="D2131" t="s">
        <v>29</v>
      </c>
      <c r="E2131" t="s">
        <v>29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9.8000000000000007</v>
      </c>
      <c r="P2131">
        <v>9.8000000000000007</v>
      </c>
      <c r="Q2131">
        <v>3</v>
      </c>
      <c r="R2131">
        <v>2.65</v>
      </c>
      <c r="S2131">
        <v>1</v>
      </c>
      <c r="T2131" t="b">
        <v>0</v>
      </c>
    </row>
    <row r="2132" spans="1:20" x14ac:dyDescent="0.25">
      <c r="A2132" t="s">
        <v>49</v>
      </c>
      <c r="B2132">
        <v>104</v>
      </c>
      <c r="C2132">
        <v>415</v>
      </c>
      <c r="D2132" t="s">
        <v>29</v>
      </c>
      <c r="E2132" t="s">
        <v>29</v>
      </c>
      <c r="F2132">
        <v>0</v>
      </c>
      <c r="G2132">
        <v>138.69999999999999</v>
      </c>
      <c r="H2132">
        <v>100</v>
      </c>
      <c r="I2132">
        <v>23.58</v>
      </c>
      <c r="J2132">
        <v>215.4</v>
      </c>
      <c r="K2132">
        <v>58</v>
      </c>
      <c r="L2132">
        <v>18.309999999999999</v>
      </c>
      <c r="M2132">
        <v>164.3</v>
      </c>
      <c r="N2132">
        <v>98</v>
      </c>
      <c r="O2132">
        <v>7.39</v>
      </c>
      <c r="P2132">
        <v>4.9000000000000004</v>
      </c>
      <c r="Q2132">
        <v>4</v>
      </c>
      <c r="R2132">
        <v>1.32</v>
      </c>
      <c r="S2132">
        <v>2</v>
      </c>
      <c r="T2132" t="b">
        <v>0</v>
      </c>
    </row>
    <row r="2133" spans="1:20" x14ac:dyDescent="0.25">
      <c r="A2133" t="s">
        <v>45</v>
      </c>
      <c r="B2133">
        <v>108</v>
      </c>
      <c r="C2133">
        <v>510</v>
      </c>
      <c r="D2133" t="s">
        <v>29</v>
      </c>
      <c r="E2133" t="s">
        <v>29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9.1999999999999993</v>
      </c>
      <c r="Q2133">
        <v>5</v>
      </c>
      <c r="R2133">
        <v>2.48</v>
      </c>
      <c r="S2133">
        <v>3</v>
      </c>
      <c r="T2133" t="b">
        <v>0</v>
      </c>
    </row>
    <row r="2134" spans="1:20" x14ac:dyDescent="0.25">
      <c r="A2134" t="s">
        <v>70</v>
      </c>
      <c r="B2134">
        <v>111</v>
      </c>
      <c r="C2134">
        <v>415</v>
      </c>
      <c r="D2134" t="s">
        <v>29</v>
      </c>
      <c r="E2134" t="s">
        <v>29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9.6999999999999993</v>
      </c>
      <c r="Q2134">
        <v>9</v>
      </c>
      <c r="R2134">
        <v>2.62</v>
      </c>
      <c r="S2134">
        <v>0</v>
      </c>
      <c r="T2134" t="b">
        <v>0</v>
      </c>
    </row>
    <row r="2135" spans="1:20" x14ac:dyDescent="0.25">
      <c r="A2135" t="s">
        <v>33</v>
      </c>
      <c r="B2135">
        <v>155</v>
      </c>
      <c r="C2135">
        <v>408</v>
      </c>
      <c r="D2135" t="s">
        <v>29</v>
      </c>
      <c r="E2135" t="s">
        <v>30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 x14ac:dyDescent="0.25">
      <c r="A2136" t="s">
        <v>72</v>
      </c>
      <c r="B2136">
        <v>66</v>
      </c>
      <c r="C2136">
        <v>510</v>
      </c>
      <c r="D2136" t="s">
        <v>29</v>
      </c>
      <c r="E2136" t="s">
        <v>29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 x14ac:dyDescent="0.25">
      <c r="A2137" t="s">
        <v>48</v>
      </c>
      <c r="B2137">
        <v>64</v>
      </c>
      <c r="C2137">
        <v>510</v>
      </c>
      <c r="D2137" t="s">
        <v>29</v>
      </c>
      <c r="E2137" t="s">
        <v>29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 x14ac:dyDescent="0.25">
      <c r="A2138" t="s">
        <v>31</v>
      </c>
      <c r="B2138">
        <v>69</v>
      </c>
      <c r="C2138">
        <v>415</v>
      </c>
      <c r="D2138" t="s">
        <v>29</v>
      </c>
      <c r="E2138" t="s">
        <v>29</v>
      </c>
      <c r="F2138">
        <v>0</v>
      </c>
      <c r="G2138">
        <v>227</v>
      </c>
      <c r="H2138">
        <v>122</v>
      </c>
      <c r="I2138">
        <v>38.590000000000003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 x14ac:dyDescent="0.25">
      <c r="A2139" t="s">
        <v>69</v>
      </c>
      <c r="B2139">
        <v>101</v>
      </c>
      <c r="C2139">
        <v>415</v>
      </c>
      <c r="D2139" t="s">
        <v>29</v>
      </c>
      <c r="E2139" t="s">
        <v>29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4.9000000000000004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 x14ac:dyDescent="0.25">
      <c r="A2140" t="s">
        <v>33</v>
      </c>
      <c r="B2140">
        <v>15</v>
      </c>
      <c r="C2140">
        <v>415</v>
      </c>
      <c r="D2140" t="s">
        <v>29</v>
      </c>
      <c r="E2140" t="s">
        <v>29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16.100000000000001</v>
      </c>
      <c r="Q2140">
        <v>5</v>
      </c>
      <c r="R2140">
        <v>4.3499999999999996</v>
      </c>
      <c r="S2140">
        <v>2</v>
      </c>
      <c r="T2140" t="b">
        <v>0</v>
      </c>
    </row>
    <row r="2141" spans="1:20" x14ac:dyDescent="0.25">
      <c r="A2141" t="s">
        <v>32</v>
      </c>
      <c r="B2141">
        <v>88</v>
      </c>
      <c r="C2141">
        <v>415</v>
      </c>
      <c r="D2141" t="s">
        <v>29</v>
      </c>
      <c r="E2141" t="s">
        <v>29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 x14ac:dyDescent="0.25">
      <c r="A2142" t="s">
        <v>39</v>
      </c>
      <c r="B2142">
        <v>197</v>
      </c>
      <c r="C2142">
        <v>415</v>
      </c>
      <c r="D2142" t="s">
        <v>29</v>
      </c>
      <c r="E2142" t="s">
        <v>29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 x14ac:dyDescent="0.25">
      <c r="A2143" t="s">
        <v>43</v>
      </c>
      <c r="B2143">
        <v>50</v>
      </c>
      <c r="C2143">
        <v>415</v>
      </c>
      <c r="D2143" t="s">
        <v>30</v>
      </c>
      <c r="E2143" t="s">
        <v>29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161.19999999999999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 x14ac:dyDescent="0.25">
      <c r="A2144" t="s">
        <v>43</v>
      </c>
      <c r="B2144">
        <v>172</v>
      </c>
      <c r="C2144">
        <v>510</v>
      </c>
      <c r="D2144" t="s">
        <v>29</v>
      </c>
      <c r="E2144" t="s">
        <v>29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 x14ac:dyDescent="0.25">
      <c r="A2145" t="s">
        <v>67</v>
      </c>
      <c r="B2145">
        <v>188</v>
      </c>
      <c r="C2145">
        <v>415</v>
      </c>
      <c r="D2145" t="s">
        <v>30</v>
      </c>
      <c r="E2145" t="s">
        <v>30</v>
      </c>
      <c r="F2145">
        <v>26</v>
      </c>
      <c r="G2145">
        <v>198.8</v>
      </c>
      <c r="H2145">
        <v>115</v>
      </c>
      <c r="I2145">
        <v>33.799999999999997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 x14ac:dyDescent="0.25">
      <c r="A2146" t="s">
        <v>45</v>
      </c>
      <c r="B2146">
        <v>85</v>
      </c>
      <c r="C2146">
        <v>408</v>
      </c>
      <c r="D2146" t="s">
        <v>30</v>
      </c>
      <c r="E2146" t="s">
        <v>29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 x14ac:dyDescent="0.25">
      <c r="A2147" t="s">
        <v>38</v>
      </c>
      <c r="B2147">
        <v>103</v>
      </c>
      <c r="C2147">
        <v>510</v>
      </c>
      <c r="D2147" t="s">
        <v>30</v>
      </c>
      <c r="E2147" t="s">
        <v>29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308.89999999999998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 x14ac:dyDescent="0.25">
      <c r="A2148" t="s">
        <v>32</v>
      </c>
      <c r="B2148">
        <v>136</v>
      </c>
      <c r="C2148">
        <v>408</v>
      </c>
      <c r="D2148" t="s">
        <v>29</v>
      </c>
      <c r="E2148" t="s">
        <v>30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145.69999999999999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 x14ac:dyDescent="0.25">
      <c r="A2149" t="s">
        <v>48</v>
      </c>
      <c r="B2149">
        <v>155</v>
      </c>
      <c r="C2149">
        <v>408</v>
      </c>
      <c r="D2149" t="s">
        <v>29</v>
      </c>
      <c r="E2149" t="s">
        <v>30</v>
      </c>
      <c r="F2149">
        <v>21</v>
      </c>
      <c r="G2149">
        <v>195.9</v>
      </c>
      <c r="H2149">
        <v>91</v>
      </c>
      <c r="I2149">
        <v>33.299999999999997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2.3199999999999998</v>
      </c>
      <c r="S2149">
        <v>0</v>
      </c>
      <c r="T2149" t="b">
        <v>0</v>
      </c>
    </row>
    <row r="2150" spans="1:20" x14ac:dyDescent="0.25">
      <c r="A2150" t="s">
        <v>37</v>
      </c>
      <c r="B2150">
        <v>145</v>
      </c>
      <c r="C2150">
        <v>415</v>
      </c>
      <c r="D2150" t="s">
        <v>29</v>
      </c>
      <c r="E2150" t="s">
        <v>29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9.2100000000000009</v>
      </c>
      <c r="P2150">
        <v>1.1000000000000001</v>
      </c>
      <c r="Q2150">
        <v>2</v>
      </c>
      <c r="R2150">
        <v>0.3</v>
      </c>
      <c r="S2150">
        <v>2</v>
      </c>
      <c r="T2150" t="b">
        <v>0</v>
      </c>
    </row>
    <row r="2151" spans="1:20" x14ac:dyDescent="0.25">
      <c r="A2151" t="s">
        <v>49</v>
      </c>
      <c r="B2151">
        <v>116</v>
      </c>
      <c r="C2151">
        <v>510</v>
      </c>
      <c r="D2151" t="s">
        <v>29</v>
      </c>
      <c r="E2151" t="s">
        <v>30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2.4300000000000002</v>
      </c>
      <c r="S2151">
        <v>2</v>
      </c>
      <c r="T2151" t="b">
        <v>0</v>
      </c>
    </row>
    <row r="2152" spans="1:20" x14ac:dyDescent="0.25">
      <c r="A2152" t="s">
        <v>75</v>
      </c>
      <c r="B2152">
        <v>152</v>
      </c>
      <c r="C2152">
        <v>408</v>
      </c>
      <c r="D2152" t="s">
        <v>29</v>
      </c>
      <c r="E2152" t="s">
        <v>29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10.220000000000001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 x14ac:dyDescent="0.25">
      <c r="A2153" t="s">
        <v>73</v>
      </c>
      <c r="B2153">
        <v>65</v>
      </c>
      <c r="C2153">
        <v>415</v>
      </c>
      <c r="D2153" t="s">
        <v>30</v>
      </c>
      <c r="E2153" t="s">
        <v>29</v>
      </c>
      <c r="F2153">
        <v>0</v>
      </c>
      <c r="G2153">
        <v>277.89999999999998</v>
      </c>
      <c r="H2153">
        <v>123</v>
      </c>
      <c r="I2153">
        <v>47.24</v>
      </c>
      <c r="J2153">
        <v>155.80000000000001</v>
      </c>
      <c r="K2153">
        <v>112</v>
      </c>
      <c r="L2153">
        <v>13.24</v>
      </c>
      <c r="M2153">
        <v>256.89999999999998</v>
      </c>
      <c r="N2153">
        <v>71</v>
      </c>
      <c r="O2153">
        <v>11.56</v>
      </c>
      <c r="P2153">
        <v>9.1999999999999993</v>
      </c>
      <c r="Q2153">
        <v>10</v>
      </c>
      <c r="R2153">
        <v>2.48</v>
      </c>
      <c r="S2153">
        <v>0</v>
      </c>
      <c r="T2153" t="b">
        <v>1</v>
      </c>
    </row>
    <row r="2154" spans="1:20" x14ac:dyDescent="0.25">
      <c r="A2154" t="s">
        <v>79</v>
      </c>
      <c r="B2154">
        <v>180</v>
      </c>
      <c r="C2154">
        <v>415</v>
      </c>
      <c r="D2154" t="s">
        <v>29</v>
      </c>
      <c r="E2154" t="s">
        <v>29</v>
      </c>
      <c r="F2154">
        <v>0</v>
      </c>
      <c r="G2154">
        <v>224.9</v>
      </c>
      <c r="H2154">
        <v>105</v>
      </c>
      <c r="I2154">
        <v>38.229999999999997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9.7200000000000006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 x14ac:dyDescent="0.25">
      <c r="A2155" t="s">
        <v>50</v>
      </c>
      <c r="B2155">
        <v>67</v>
      </c>
      <c r="C2155">
        <v>415</v>
      </c>
      <c r="D2155" t="s">
        <v>29</v>
      </c>
      <c r="E2155" t="s">
        <v>29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 x14ac:dyDescent="0.25">
      <c r="A2156" t="s">
        <v>58</v>
      </c>
      <c r="B2156">
        <v>60</v>
      </c>
      <c r="C2156">
        <v>415</v>
      </c>
      <c r="D2156" t="s">
        <v>29</v>
      </c>
      <c r="E2156" t="s">
        <v>29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291.60000000000002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 x14ac:dyDescent="0.25">
      <c r="A2157" t="s">
        <v>39</v>
      </c>
      <c r="B2157">
        <v>44</v>
      </c>
      <c r="C2157">
        <v>415</v>
      </c>
      <c r="D2157" t="s">
        <v>29</v>
      </c>
      <c r="E2157" t="s">
        <v>29</v>
      </c>
      <c r="F2157">
        <v>0</v>
      </c>
      <c r="G2157">
        <v>308.60000000000002</v>
      </c>
      <c r="H2157">
        <v>139</v>
      </c>
      <c r="I2157">
        <v>52.46</v>
      </c>
      <c r="J2157">
        <v>150.80000000000001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 x14ac:dyDescent="0.25">
      <c r="A2158" t="s">
        <v>72</v>
      </c>
      <c r="B2158">
        <v>25</v>
      </c>
      <c r="C2158">
        <v>510</v>
      </c>
      <c r="D2158" t="s">
        <v>29</v>
      </c>
      <c r="E2158" t="s">
        <v>29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 x14ac:dyDescent="0.25">
      <c r="A2159" t="s">
        <v>49</v>
      </c>
      <c r="B2159">
        <v>145</v>
      </c>
      <c r="C2159">
        <v>408</v>
      </c>
      <c r="D2159" t="s">
        <v>29</v>
      </c>
      <c r="E2159" t="s">
        <v>29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 x14ac:dyDescent="0.25">
      <c r="A2160" t="s">
        <v>57</v>
      </c>
      <c r="B2160">
        <v>122</v>
      </c>
      <c r="C2160">
        <v>510</v>
      </c>
      <c r="D2160" t="s">
        <v>29</v>
      </c>
      <c r="E2160" t="s">
        <v>30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 x14ac:dyDescent="0.25">
      <c r="A2161" t="s">
        <v>75</v>
      </c>
      <c r="B2161">
        <v>121</v>
      </c>
      <c r="C2161">
        <v>415</v>
      </c>
      <c r="D2161" t="s">
        <v>29</v>
      </c>
      <c r="E2161" t="s">
        <v>29</v>
      </c>
      <c r="F2161">
        <v>0</v>
      </c>
      <c r="G2161">
        <v>144.80000000000001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 x14ac:dyDescent="0.25">
      <c r="A2162" t="s">
        <v>69</v>
      </c>
      <c r="B2162">
        <v>55</v>
      </c>
      <c r="C2162">
        <v>510</v>
      </c>
      <c r="D2162" t="s">
        <v>30</v>
      </c>
      <c r="E2162" t="s">
        <v>29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 x14ac:dyDescent="0.25">
      <c r="A2163" t="s">
        <v>80</v>
      </c>
      <c r="B2163">
        <v>77</v>
      </c>
      <c r="C2163">
        <v>415</v>
      </c>
      <c r="D2163" t="s">
        <v>29</v>
      </c>
      <c r="E2163" t="s">
        <v>29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9.4600000000000009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 x14ac:dyDescent="0.25">
      <c r="A2164" t="s">
        <v>58</v>
      </c>
      <c r="B2164">
        <v>12</v>
      </c>
      <c r="C2164">
        <v>415</v>
      </c>
      <c r="D2164" t="s">
        <v>29</v>
      </c>
      <c r="E2164" t="s">
        <v>29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18.059999999999999</v>
      </c>
      <c r="M2164">
        <v>182.1</v>
      </c>
      <c r="N2164">
        <v>95</v>
      </c>
      <c r="O2164">
        <v>8.19</v>
      </c>
      <c r="P2164">
        <v>9.8000000000000007</v>
      </c>
      <c r="Q2164">
        <v>7</v>
      </c>
      <c r="R2164">
        <v>2.65</v>
      </c>
      <c r="S2164">
        <v>2</v>
      </c>
      <c r="T2164" t="b">
        <v>0</v>
      </c>
    </row>
    <row r="2165" spans="1:20" x14ac:dyDescent="0.25">
      <c r="A2165" t="s">
        <v>58</v>
      </c>
      <c r="B2165">
        <v>64</v>
      </c>
      <c r="C2165">
        <v>510</v>
      </c>
      <c r="D2165" t="s">
        <v>29</v>
      </c>
      <c r="E2165" t="s">
        <v>29</v>
      </c>
      <c r="F2165">
        <v>0</v>
      </c>
      <c r="G2165">
        <v>213.5</v>
      </c>
      <c r="H2165">
        <v>93</v>
      </c>
      <c r="I2165">
        <v>36.299999999999997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 x14ac:dyDescent="0.25">
      <c r="A2166" t="s">
        <v>68</v>
      </c>
      <c r="B2166">
        <v>92</v>
      </c>
      <c r="C2166">
        <v>415</v>
      </c>
      <c r="D2166" t="s">
        <v>29</v>
      </c>
      <c r="E2166" t="s">
        <v>30</v>
      </c>
      <c r="F2166">
        <v>44</v>
      </c>
      <c r="G2166">
        <v>152</v>
      </c>
      <c r="H2166">
        <v>95</v>
      </c>
      <c r="I2166">
        <v>25.84</v>
      </c>
      <c r="J2166">
        <v>274.89999999999998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 x14ac:dyDescent="0.25">
      <c r="A2167" t="s">
        <v>66</v>
      </c>
      <c r="B2167">
        <v>125</v>
      </c>
      <c r="C2167">
        <v>415</v>
      </c>
      <c r="D2167" t="s">
        <v>30</v>
      </c>
      <c r="E2167" t="s">
        <v>30</v>
      </c>
      <c r="F2167">
        <v>29</v>
      </c>
      <c r="G2167">
        <v>260.8</v>
      </c>
      <c r="H2167">
        <v>81</v>
      </c>
      <c r="I2167">
        <v>44.34</v>
      </c>
      <c r="J2167">
        <v>163.69999999999999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 x14ac:dyDescent="0.25">
      <c r="A2168" t="s">
        <v>33</v>
      </c>
      <c r="B2168">
        <v>160</v>
      </c>
      <c r="C2168">
        <v>408</v>
      </c>
      <c r="D2168" t="s">
        <v>29</v>
      </c>
      <c r="E2168" t="s">
        <v>29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 x14ac:dyDescent="0.25">
      <c r="A2169" t="s">
        <v>28</v>
      </c>
      <c r="B2169">
        <v>79</v>
      </c>
      <c r="C2169">
        <v>415</v>
      </c>
      <c r="D2169" t="s">
        <v>29</v>
      </c>
      <c r="E2169" t="s">
        <v>29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4.0999999999999996</v>
      </c>
      <c r="S2169">
        <v>0</v>
      </c>
      <c r="T2169" t="b">
        <v>0</v>
      </c>
    </row>
    <row r="2170" spans="1:20" x14ac:dyDescent="0.25">
      <c r="A2170" t="s">
        <v>38</v>
      </c>
      <c r="B2170">
        <v>36</v>
      </c>
      <c r="C2170">
        <v>415</v>
      </c>
      <c r="D2170" t="s">
        <v>29</v>
      </c>
      <c r="E2170" t="s">
        <v>29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 x14ac:dyDescent="0.25">
      <c r="A2171" t="s">
        <v>50</v>
      </c>
      <c r="B2171">
        <v>138</v>
      </c>
      <c r="C2171">
        <v>408</v>
      </c>
      <c r="D2171" t="s">
        <v>30</v>
      </c>
      <c r="E2171" t="s">
        <v>29</v>
      </c>
      <c r="F2171">
        <v>0</v>
      </c>
      <c r="G2171">
        <v>268.39999999999998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8.7100000000000009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 x14ac:dyDescent="0.25">
      <c r="A2172" t="s">
        <v>57</v>
      </c>
      <c r="B2172">
        <v>72</v>
      </c>
      <c r="C2172">
        <v>408</v>
      </c>
      <c r="D2172" t="s">
        <v>29</v>
      </c>
      <c r="E2172" t="s">
        <v>29</v>
      </c>
      <c r="F2172">
        <v>0</v>
      </c>
      <c r="G2172">
        <v>179.9</v>
      </c>
      <c r="H2172">
        <v>113</v>
      </c>
      <c r="I2172">
        <v>30.58</v>
      </c>
      <c r="J2172">
        <v>149.80000000000001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9.8000000000000007</v>
      </c>
      <c r="Q2172">
        <v>7</v>
      </c>
      <c r="R2172">
        <v>2.65</v>
      </c>
      <c r="S2172">
        <v>2</v>
      </c>
      <c r="T2172" t="b">
        <v>0</v>
      </c>
    </row>
    <row r="2173" spans="1:20" x14ac:dyDescent="0.25">
      <c r="A2173" t="s">
        <v>74</v>
      </c>
      <c r="B2173">
        <v>74</v>
      </c>
      <c r="C2173">
        <v>415</v>
      </c>
      <c r="D2173" t="s">
        <v>29</v>
      </c>
      <c r="E2173" t="s">
        <v>29</v>
      </c>
      <c r="F2173">
        <v>0</v>
      </c>
      <c r="G2173">
        <v>314.10000000000002</v>
      </c>
      <c r="H2173">
        <v>86</v>
      </c>
      <c r="I2173">
        <v>53.4</v>
      </c>
      <c r="J2173">
        <v>222.4</v>
      </c>
      <c r="K2173">
        <v>99</v>
      </c>
      <c r="L2173">
        <v>18.899999999999999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 x14ac:dyDescent="0.25">
      <c r="A2174" t="s">
        <v>74</v>
      </c>
      <c r="B2174">
        <v>134</v>
      </c>
      <c r="C2174">
        <v>415</v>
      </c>
      <c r="D2174" t="s">
        <v>29</v>
      </c>
      <c r="E2174" t="s">
        <v>30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 x14ac:dyDescent="0.25">
      <c r="A2175" t="s">
        <v>35</v>
      </c>
      <c r="B2175">
        <v>145</v>
      </c>
      <c r="C2175">
        <v>415</v>
      </c>
      <c r="D2175" t="s">
        <v>29</v>
      </c>
      <c r="E2175" t="s">
        <v>29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10.199999999999999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 x14ac:dyDescent="0.25">
      <c r="A2176" t="s">
        <v>34</v>
      </c>
      <c r="B2176">
        <v>136</v>
      </c>
      <c r="C2176">
        <v>510</v>
      </c>
      <c r="D2176" t="s">
        <v>29</v>
      </c>
      <c r="E2176" t="s">
        <v>29</v>
      </c>
      <c r="F2176">
        <v>0</v>
      </c>
      <c r="G2176">
        <v>109.4</v>
      </c>
      <c r="H2176">
        <v>91</v>
      </c>
      <c r="I2176">
        <v>18.600000000000001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 x14ac:dyDescent="0.25">
      <c r="A2177" t="s">
        <v>57</v>
      </c>
      <c r="B2177">
        <v>66</v>
      </c>
      <c r="C2177">
        <v>415</v>
      </c>
      <c r="D2177" t="s">
        <v>30</v>
      </c>
      <c r="E2177" t="s">
        <v>29</v>
      </c>
      <c r="F2177">
        <v>0</v>
      </c>
      <c r="G2177">
        <v>208.7</v>
      </c>
      <c r="H2177">
        <v>84</v>
      </c>
      <c r="I2177">
        <v>35.479999999999997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8.3000000000000007</v>
      </c>
      <c r="Q2177">
        <v>3</v>
      </c>
      <c r="R2177">
        <v>2.2400000000000002</v>
      </c>
      <c r="S2177">
        <v>3</v>
      </c>
      <c r="T2177" t="b">
        <v>0</v>
      </c>
    </row>
    <row r="2178" spans="1:20" x14ac:dyDescent="0.25">
      <c r="A2178" t="s">
        <v>42</v>
      </c>
      <c r="B2178">
        <v>152</v>
      </c>
      <c r="C2178">
        <v>510</v>
      </c>
      <c r="D2178" t="s">
        <v>29</v>
      </c>
      <c r="E2178" t="s">
        <v>30</v>
      </c>
      <c r="F2178">
        <v>20</v>
      </c>
      <c r="G2178">
        <v>214.6</v>
      </c>
      <c r="H2178">
        <v>108</v>
      </c>
      <c r="I2178">
        <v>36.479999999999997</v>
      </c>
      <c r="J2178">
        <v>96.6</v>
      </c>
      <c r="K2178">
        <v>82</v>
      </c>
      <c r="L2178">
        <v>8.2100000000000009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 x14ac:dyDescent="0.25">
      <c r="A2179" t="s">
        <v>80</v>
      </c>
      <c r="B2179">
        <v>162</v>
      </c>
      <c r="C2179">
        <v>408</v>
      </c>
      <c r="D2179" t="s">
        <v>29</v>
      </c>
      <c r="E2179" t="s">
        <v>29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 x14ac:dyDescent="0.25">
      <c r="A2180" t="s">
        <v>58</v>
      </c>
      <c r="B2180">
        <v>72</v>
      </c>
      <c r="C2180">
        <v>510</v>
      </c>
      <c r="D2180" t="s">
        <v>29</v>
      </c>
      <c r="E2180" t="s">
        <v>29</v>
      </c>
      <c r="F2180">
        <v>0</v>
      </c>
      <c r="G2180">
        <v>141.30000000000001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 x14ac:dyDescent="0.25">
      <c r="A2181" t="s">
        <v>78</v>
      </c>
      <c r="B2181">
        <v>101</v>
      </c>
      <c r="C2181">
        <v>415</v>
      </c>
      <c r="D2181" t="s">
        <v>29</v>
      </c>
      <c r="E2181" t="s">
        <v>29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154.30000000000001</v>
      </c>
      <c r="N2181">
        <v>85</v>
      </c>
      <c r="O2181">
        <v>6.94</v>
      </c>
      <c r="P2181">
        <v>9.6999999999999993</v>
      </c>
      <c r="Q2181">
        <v>7</v>
      </c>
      <c r="R2181">
        <v>2.62</v>
      </c>
      <c r="S2181">
        <v>4</v>
      </c>
      <c r="T2181" t="b">
        <v>0</v>
      </c>
    </row>
    <row r="2182" spans="1:20" x14ac:dyDescent="0.25">
      <c r="A2182" t="s">
        <v>37</v>
      </c>
      <c r="B2182">
        <v>125</v>
      </c>
      <c r="C2182">
        <v>415</v>
      </c>
      <c r="D2182" t="s">
        <v>29</v>
      </c>
      <c r="E2182" t="s">
        <v>29</v>
      </c>
      <c r="F2182">
        <v>0</v>
      </c>
      <c r="G2182">
        <v>206</v>
      </c>
      <c r="H2182">
        <v>128</v>
      </c>
      <c r="I2182">
        <v>35.020000000000003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 x14ac:dyDescent="0.25">
      <c r="A2183" t="s">
        <v>38</v>
      </c>
      <c r="B2183">
        <v>46</v>
      </c>
      <c r="C2183">
        <v>408</v>
      </c>
      <c r="D2183" t="s">
        <v>29</v>
      </c>
      <c r="E2183" t="s">
        <v>29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2.4300000000000002</v>
      </c>
      <c r="S2183">
        <v>2</v>
      </c>
      <c r="T2183" t="b">
        <v>0</v>
      </c>
    </row>
    <row r="2184" spans="1:20" x14ac:dyDescent="0.25">
      <c r="A2184" t="s">
        <v>74</v>
      </c>
      <c r="B2184">
        <v>132</v>
      </c>
      <c r="C2184">
        <v>408</v>
      </c>
      <c r="D2184" t="s">
        <v>29</v>
      </c>
      <c r="E2184" t="s">
        <v>29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8.6300000000000008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 x14ac:dyDescent="0.25">
      <c r="A2185" t="s">
        <v>72</v>
      </c>
      <c r="B2185">
        <v>193</v>
      </c>
      <c r="C2185">
        <v>415</v>
      </c>
      <c r="D2185" t="s">
        <v>29</v>
      </c>
      <c r="E2185" t="s">
        <v>30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 x14ac:dyDescent="0.25">
      <c r="A2186" t="s">
        <v>37</v>
      </c>
      <c r="B2186">
        <v>63</v>
      </c>
      <c r="C2186">
        <v>510</v>
      </c>
      <c r="D2186" t="s">
        <v>29</v>
      </c>
      <c r="E2186" t="s">
        <v>29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 x14ac:dyDescent="0.25">
      <c r="A2187" t="s">
        <v>48</v>
      </c>
      <c r="B2187">
        <v>124</v>
      </c>
      <c r="C2187">
        <v>510</v>
      </c>
      <c r="D2187" t="s">
        <v>29</v>
      </c>
      <c r="E2187" t="s">
        <v>29</v>
      </c>
      <c r="F2187">
        <v>0</v>
      </c>
      <c r="G2187">
        <v>191.3</v>
      </c>
      <c r="H2187">
        <v>134</v>
      </c>
      <c r="I2187">
        <v>32.520000000000003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8.1999999999999993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 x14ac:dyDescent="0.25">
      <c r="A2188" t="s">
        <v>69</v>
      </c>
      <c r="B2188">
        <v>144</v>
      </c>
      <c r="C2188">
        <v>415</v>
      </c>
      <c r="D2188" t="s">
        <v>29</v>
      </c>
      <c r="E2188" t="s">
        <v>29</v>
      </c>
      <c r="F2188">
        <v>0</v>
      </c>
      <c r="G2188">
        <v>133.30000000000001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 x14ac:dyDescent="0.25">
      <c r="A2189" t="s">
        <v>51</v>
      </c>
      <c r="B2189">
        <v>97</v>
      </c>
      <c r="C2189">
        <v>408</v>
      </c>
      <c r="D2189" t="s">
        <v>29</v>
      </c>
      <c r="E2189" t="s">
        <v>30</v>
      </c>
      <c r="F2189">
        <v>28</v>
      </c>
      <c r="G2189">
        <v>283.10000000000002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 x14ac:dyDescent="0.25">
      <c r="A2190" t="s">
        <v>37</v>
      </c>
      <c r="B2190">
        <v>137</v>
      </c>
      <c r="C2190">
        <v>510</v>
      </c>
      <c r="D2190" t="s">
        <v>29</v>
      </c>
      <c r="E2190" t="s">
        <v>30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9.6999999999999993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 x14ac:dyDescent="0.25">
      <c r="A2191" t="s">
        <v>50</v>
      </c>
      <c r="B2191">
        <v>142</v>
      </c>
      <c r="C2191">
        <v>415</v>
      </c>
      <c r="D2191" t="s">
        <v>29</v>
      </c>
      <c r="E2191" t="s">
        <v>30</v>
      </c>
      <c r="F2191">
        <v>38</v>
      </c>
      <c r="G2191">
        <v>163.30000000000001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1.1599999999999999</v>
      </c>
      <c r="S2191">
        <v>0</v>
      </c>
      <c r="T2191" t="b">
        <v>0</v>
      </c>
    </row>
    <row r="2192" spans="1:20" x14ac:dyDescent="0.25">
      <c r="A2192" t="s">
        <v>51</v>
      </c>
      <c r="B2192">
        <v>119</v>
      </c>
      <c r="C2192">
        <v>415</v>
      </c>
      <c r="D2192" t="s">
        <v>29</v>
      </c>
      <c r="E2192" t="s">
        <v>30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 x14ac:dyDescent="0.25">
      <c r="A2193" t="s">
        <v>74</v>
      </c>
      <c r="B2193">
        <v>158</v>
      </c>
      <c r="C2193">
        <v>415</v>
      </c>
      <c r="D2193" t="s">
        <v>29</v>
      </c>
      <c r="E2193" t="s">
        <v>29</v>
      </c>
      <c r="F2193">
        <v>0</v>
      </c>
      <c r="G2193">
        <v>195.9</v>
      </c>
      <c r="H2193">
        <v>103</v>
      </c>
      <c r="I2193">
        <v>33.299999999999997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 x14ac:dyDescent="0.25">
      <c r="A2194" t="s">
        <v>79</v>
      </c>
      <c r="B2194">
        <v>50</v>
      </c>
      <c r="C2194">
        <v>415</v>
      </c>
      <c r="D2194" t="s">
        <v>29</v>
      </c>
      <c r="E2194" t="s">
        <v>29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 x14ac:dyDescent="0.25">
      <c r="A2195" t="s">
        <v>52</v>
      </c>
      <c r="B2195">
        <v>98</v>
      </c>
      <c r="C2195">
        <v>408</v>
      </c>
      <c r="D2195" t="s">
        <v>29</v>
      </c>
      <c r="E2195" t="s">
        <v>29</v>
      </c>
      <c r="F2195">
        <v>0</v>
      </c>
      <c r="G2195">
        <v>136.1</v>
      </c>
      <c r="H2195">
        <v>82</v>
      </c>
      <c r="I2195">
        <v>23.14</v>
      </c>
      <c r="J2195">
        <v>156.30000000000001</v>
      </c>
      <c r="K2195">
        <v>118</v>
      </c>
      <c r="L2195">
        <v>13.29</v>
      </c>
      <c r="M2195">
        <v>158.80000000000001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 x14ac:dyDescent="0.25">
      <c r="A2196" t="s">
        <v>78</v>
      </c>
      <c r="B2196">
        <v>101</v>
      </c>
      <c r="C2196">
        <v>415</v>
      </c>
      <c r="D2196" t="s">
        <v>29</v>
      </c>
      <c r="E2196" t="s">
        <v>30</v>
      </c>
      <c r="F2196">
        <v>24</v>
      </c>
      <c r="G2196">
        <v>114.1</v>
      </c>
      <c r="H2196">
        <v>95</v>
      </c>
      <c r="I2196">
        <v>19.399999999999999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 x14ac:dyDescent="0.25">
      <c r="A2197" t="s">
        <v>37</v>
      </c>
      <c r="B2197">
        <v>51</v>
      </c>
      <c r="C2197">
        <v>408</v>
      </c>
      <c r="D2197" t="s">
        <v>29</v>
      </c>
      <c r="E2197" t="s">
        <v>29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8.8699999999999992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 x14ac:dyDescent="0.25">
      <c r="A2198" t="s">
        <v>64</v>
      </c>
      <c r="B2198">
        <v>117</v>
      </c>
      <c r="C2198">
        <v>510</v>
      </c>
      <c r="D2198" t="s">
        <v>29</v>
      </c>
      <c r="E2198" t="s">
        <v>29</v>
      </c>
      <c r="F2198">
        <v>0</v>
      </c>
      <c r="G2198">
        <v>214.4</v>
      </c>
      <c r="H2198">
        <v>94</v>
      </c>
      <c r="I2198">
        <v>36.450000000000003</v>
      </c>
      <c r="J2198">
        <v>138</v>
      </c>
      <c r="K2198">
        <v>149</v>
      </c>
      <c r="L2198">
        <v>11.73</v>
      </c>
      <c r="M2198">
        <v>148.69999999999999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 x14ac:dyDescent="0.25">
      <c r="A2199" t="s">
        <v>77</v>
      </c>
      <c r="B2199">
        <v>92</v>
      </c>
      <c r="C2199">
        <v>415</v>
      </c>
      <c r="D2199" t="s">
        <v>30</v>
      </c>
      <c r="E2199" t="s">
        <v>29</v>
      </c>
      <c r="F2199">
        <v>0</v>
      </c>
      <c r="G2199">
        <v>255.8</v>
      </c>
      <c r="H2199">
        <v>125</v>
      </c>
      <c r="I2199">
        <v>43.49</v>
      </c>
      <c r="J2199">
        <v>142.69999999999999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 x14ac:dyDescent="0.25">
      <c r="A2200" t="s">
        <v>74</v>
      </c>
      <c r="B2200">
        <v>86</v>
      </c>
      <c r="C2200">
        <v>408</v>
      </c>
      <c r="D2200" t="s">
        <v>29</v>
      </c>
      <c r="E2200" t="s">
        <v>29</v>
      </c>
      <c r="F2200">
        <v>0</v>
      </c>
      <c r="G2200">
        <v>148.19999999999999</v>
      </c>
      <c r="H2200">
        <v>71</v>
      </c>
      <c r="I2200">
        <v>25.19</v>
      </c>
      <c r="J2200">
        <v>285.10000000000002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 x14ac:dyDescent="0.25">
      <c r="A2201" t="s">
        <v>49</v>
      </c>
      <c r="B2201">
        <v>122</v>
      </c>
      <c r="C2201">
        <v>415</v>
      </c>
      <c r="D2201" t="s">
        <v>29</v>
      </c>
      <c r="E2201" t="s">
        <v>29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9.5399999999999991</v>
      </c>
      <c r="P2201">
        <v>8.6999999999999993</v>
      </c>
      <c r="Q2201">
        <v>4</v>
      </c>
      <c r="R2201">
        <v>2.35</v>
      </c>
      <c r="S2201">
        <v>2</v>
      </c>
      <c r="T2201" t="b">
        <v>0</v>
      </c>
    </row>
    <row r="2202" spans="1:20" x14ac:dyDescent="0.25">
      <c r="A2202" t="s">
        <v>32</v>
      </c>
      <c r="B2202">
        <v>156</v>
      </c>
      <c r="C2202">
        <v>408</v>
      </c>
      <c r="D2202" t="s">
        <v>29</v>
      </c>
      <c r="E2202" t="s">
        <v>30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16.989999999999998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 x14ac:dyDescent="0.25">
      <c r="A2203" t="s">
        <v>32</v>
      </c>
      <c r="B2203">
        <v>127</v>
      </c>
      <c r="C2203">
        <v>510</v>
      </c>
      <c r="D2203" t="s">
        <v>29</v>
      </c>
      <c r="E2203" t="s">
        <v>29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 x14ac:dyDescent="0.25">
      <c r="A2204" t="s">
        <v>64</v>
      </c>
      <c r="B2204">
        <v>130</v>
      </c>
      <c r="C2204">
        <v>408</v>
      </c>
      <c r="D2204" t="s">
        <v>30</v>
      </c>
      <c r="E2204" t="s">
        <v>29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16.899999999999999</v>
      </c>
      <c r="Q2204">
        <v>2</v>
      </c>
      <c r="R2204">
        <v>4.5599999999999996</v>
      </c>
      <c r="S2204">
        <v>5</v>
      </c>
      <c r="T2204" t="b">
        <v>1</v>
      </c>
    </row>
    <row r="2205" spans="1:20" x14ac:dyDescent="0.25">
      <c r="A2205" t="s">
        <v>67</v>
      </c>
      <c r="B2205">
        <v>158</v>
      </c>
      <c r="C2205">
        <v>408</v>
      </c>
      <c r="D2205" t="s">
        <v>29</v>
      </c>
      <c r="E2205" t="s">
        <v>29</v>
      </c>
      <c r="F2205">
        <v>0</v>
      </c>
      <c r="G2205">
        <v>172.4</v>
      </c>
      <c r="H2205">
        <v>114</v>
      </c>
      <c r="I2205">
        <v>29.31</v>
      </c>
      <c r="J2205">
        <v>256.60000000000002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 x14ac:dyDescent="0.25">
      <c r="A2206" t="s">
        <v>73</v>
      </c>
      <c r="B2206">
        <v>145</v>
      </c>
      <c r="C2206">
        <v>510</v>
      </c>
      <c r="D2206" t="s">
        <v>30</v>
      </c>
      <c r="E2206" t="s">
        <v>30</v>
      </c>
      <c r="F2206">
        <v>30</v>
      </c>
      <c r="G2206">
        <v>175.3</v>
      </c>
      <c r="H2206">
        <v>107</v>
      </c>
      <c r="I2206">
        <v>29.8</v>
      </c>
      <c r="J2206">
        <v>153.30000000000001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 x14ac:dyDescent="0.25">
      <c r="A2207" t="s">
        <v>44</v>
      </c>
      <c r="B2207">
        <v>90</v>
      </c>
      <c r="C2207">
        <v>415</v>
      </c>
      <c r="D2207" t="s">
        <v>30</v>
      </c>
      <c r="E2207" t="s">
        <v>30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 x14ac:dyDescent="0.25">
      <c r="A2208" t="s">
        <v>33</v>
      </c>
      <c r="B2208">
        <v>127</v>
      </c>
      <c r="C2208">
        <v>510</v>
      </c>
      <c r="D2208" t="s">
        <v>29</v>
      </c>
      <c r="E2208" t="s">
        <v>30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9.1999999999999993</v>
      </c>
      <c r="Q2208">
        <v>5</v>
      </c>
      <c r="R2208">
        <v>2.48</v>
      </c>
      <c r="S2208">
        <v>3</v>
      </c>
      <c r="T2208" t="b">
        <v>0</v>
      </c>
    </row>
    <row r="2209" spans="1:20" x14ac:dyDescent="0.25">
      <c r="A2209" t="s">
        <v>41</v>
      </c>
      <c r="B2209">
        <v>109</v>
      </c>
      <c r="C2209">
        <v>415</v>
      </c>
      <c r="D2209" t="s">
        <v>29</v>
      </c>
      <c r="E2209" t="s">
        <v>29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17.989999999999998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 x14ac:dyDescent="0.25">
      <c r="A2210" t="s">
        <v>34</v>
      </c>
      <c r="B2210">
        <v>88</v>
      </c>
      <c r="C2210">
        <v>415</v>
      </c>
      <c r="D2210" t="s">
        <v>29</v>
      </c>
      <c r="E2210" t="s">
        <v>29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2.0299999999999998</v>
      </c>
      <c r="S2210">
        <v>1</v>
      </c>
      <c r="T2210" t="b">
        <v>0</v>
      </c>
    </row>
    <row r="2211" spans="1:20" x14ac:dyDescent="0.25">
      <c r="A2211" t="s">
        <v>49</v>
      </c>
      <c r="B2211">
        <v>101</v>
      </c>
      <c r="C2211">
        <v>510</v>
      </c>
      <c r="D2211" t="s">
        <v>29</v>
      </c>
      <c r="E2211" t="s">
        <v>30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17.850000000000001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 x14ac:dyDescent="0.25">
      <c r="A2212" t="s">
        <v>43</v>
      </c>
      <c r="B2212">
        <v>21</v>
      </c>
      <c r="C2212">
        <v>415</v>
      </c>
      <c r="D2212" t="s">
        <v>29</v>
      </c>
      <c r="E2212" t="s">
        <v>29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18.399999999999999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 x14ac:dyDescent="0.25">
      <c r="A2213" t="s">
        <v>37</v>
      </c>
      <c r="B2213">
        <v>145</v>
      </c>
      <c r="C2213">
        <v>408</v>
      </c>
      <c r="D2213" t="s">
        <v>29</v>
      </c>
      <c r="E2213" t="s">
        <v>30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 x14ac:dyDescent="0.25">
      <c r="A2214" t="s">
        <v>62</v>
      </c>
      <c r="B2214">
        <v>33</v>
      </c>
      <c r="C2214">
        <v>408</v>
      </c>
      <c r="D2214" t="s">
        <v>29</v>
      </c>
      <c r="E2214" t="s">
        <v>29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4.6100000000000003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 x14ac:dyDescent="0.25">
      <c r="A2215" t="s">
        <v>77</v>
      </c>
      <c r="B2215">
        <v>61</v>
      </c>
      <c r="C2215">
        <v>408</v>
      </c>
      <c r="D2215" t="s">
        <v>29</v>
      </c>
      <c r="E2215" t="s">
        <v>30</v>
      </c>
      <c r="F2215">
        <v>40</v>
      </c>
      <c r="G2215">
        <v>105</v>
      </c>
      <c r="H2215">
        <v>78</v>
      </c>
      <c r="I2215">
        <v>17.850000000000001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10.199999999999999</v>
      </c>
      <c r="Q2215">
        <v>2</v>
      </c>
      <c r="R2215">
        <v>2.75</v>
      </c>
      <c r="S2215">
        <v>2</v>
      </c>
      <c r="T2215" t="b">
        <v>1</v>
      </c>
    </row>
    <row r="2216" spans="1:20" x14ac:dyDescent="0.25">
      <c r="A2216" t="s">
        <v>46</v>
      </c>
      <c r="B2216">
        <v>107</v>
      </c>
      <c r="C2216">
        <v>415</v>
      </c>
      <c r="D2216" t="s">
        <v>29</v>
      </c>
      <c r="E2216" t="s">
        <v>29</v>
      </c>
      <c r="F2216">
        <v>0</v>
      </c>
      <c r="G2216">
        <v>204.5</v>
      </c>
      <c r="H2216">
        <v>108</v>
      </c>
      <c r="I2216">
        <v>34.770000000000003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 x14ac:dyDescent="0.25">
      <c r="A2217" t="s">
        <v>55</v>
      </c>
      <c r="B2217">
        <v>147</v>
      </c>
      <c r="C2217">
        <v>408</v>
      </c>
      <c r="D2217" t="s">
        <v>29</v>
      </c>
      <c r="E2217" t="s">
        <v>29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283.60000000000002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 x14ac:dyDescent="0.25">
      <c r="A2218" t="s">
        <v>34</v>
      </c>
      <c r="B2218">
        <v>95</v>
      </c>
      <c r="C2218">
        <v>415</v>
      </c>
      <c r="D2218" t="s">
        <v>29</v>
      </c>
      <c r="E2218" t="s">
        <v>29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 x14ac:dyDescent="0.25">
      <c r="A2219" t="s">
        <v>74</v>
      </c>
      <c r="B2219">
        <v>128</v>
      </c>
      <c r="C2219">
        <v>415</v>
      </c>
      <c r="D2219" t="s">
        <v>29</v>
      </c>
      <c r="E2219" t="s">
        <v>29</v>
      </c>
      <c r="F2219">
        <v>0</v>
      </c>
      <c r="G2219">
        <v>179.4</v>
      </c>
      <c r="H2219">
        <v>94</v>
      </c>
      <c r="I2219">
        <v>30.5</v>
      </c>
      <c r="J2219">
        <v>270.39999999999998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 x14ac:dyDescent="0.25">
      <c r="A2220" t="s">
        <v>31</v>
      </c>
      <c r="B2220">
        <v>134</v>
      </c>
      <c r="C2220">
        <v>415</v>
      </c>
      <c r="D2220" t="s">
        <v>29</v>
      </c>
      <c r="E2220" t="s">
        <v>29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 x14ac:dyDescent="0.25">
      <c r="A2221" t="s">
        <v>60</v>
      </c>
      <c r="B2221">
        <v>96</v>
      </c>
      <c r="C2221">
        <v>415</v>
      </c>
      <c r="D2221" t="s">
        <v>29</v>
      </c>
      <c r="E2221" t="s">
        <v>30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 x14ac:dyDescent="0.25">
      <c r="A2222" t="s">
        <v>75</v>
      </c>
      <c r="B2222">
        <v>107</v>
      </c>
      <c r="C2222">
        <v>415</v>
      </c>
      <c r="D2222" t="s">
        <v>29</v>
      </c>
      <c r="E2222" t="s">
        <v>29</v>
      </c>
      <c r="F2222">
        <v>0</v>
      </c>
      <c r="G2222">
        <v>206.9</v>
      </c>
      <c r="H2222">
        <v>79</v>
      </c>
      <c r="I2222">
        <v>35.17</v>
      </c>
      <c r="J2222">
        <v>262.39999999999998</v>
      </c>
      <c r="K2222">
        <v>117</v>
      </c>
      <c r="L2222">
        <v>22.3</v>
      </c>
      <c r="M2222">
        <v>149.30000000000001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 x14ac:dyDescent="0.25">
      <c r="A2223" t="s">
        <v>28</v>
      </c>
      <c r="B2223">
        <v>123</v>
      </c>
      <c r="C2223">
        <v>415</v>
      </c>
      <c r="D2223" t="s">
        <v>29</v>
      </c>
      <c r="E2223" t="s">
        <v>29</v>
      </c>
      <c r="F2223">
        <v>0</v>
      </c>
      <c r="G2223">
        <v>140</v>
      </c>
      <c r="H2223">
        <v>106</v>
      </c>
      <c r="I2223">
        <v>23.8</v>
      </c>
      <c r="J2223">
        <v>153.69999999999999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 x14ac:dyDescent="0.25">
      <c r="A2224" t="s">
        <v>33</v>
      </c>
      <c r="B2224">
        <v>35</v>
      </c>
      <c r="C2224">
        <v>415</v>
      </c>
      <c r="D2224" t="s">
        <v>29</v>
      </c>
      <c r="E2224" t="s">
        <v>29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285.39999999999998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 x14ac:dyDescent="0.25">
      <c r="A2225" t="s">
        <v>50</v>
      </c>
      <c r="B2225">
        <v>137</v>
      </c>
      <c r="C2225">
        <v>408</v>
      </c>
      <c r="D2225" t="s">
        <v>30</v>
      </c>
      <c r="E2225" t="s">
        <v>29</v>
      </c>
      <c r="F2225">
        <v>0</v>
      </c>
      <c r="G2225">
        <v>237.3</v>
      </c>
      <c r="H2225">
        <v>103</v>
      </c>
      <c r="I2225">
        <v>40.340000000000003</v>
      </c>
      <c r="J2225">
        <v>176.7</v>
      </c>
      <c r="K2225">
        <v>84</v>
      </c>
      <c r="L2225">
        <v>15.02</v>
      </c>
      <c r="M2225">
        <v>263.39999999999998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 x14ac:dyDescent="0.25">
      <c r="A2226" t="s">
        <v>76</v>
      </c>
      <c r="B2226">
        <v>88</v>
      </c>
      <c r="C2226">
        <v>415</v>
      </c>
      <c r="D2226" t="s">
        <v>29</v>
      </c>
      <c r="E2226" t="s">
        <v>29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 x14ac:dyDescent="0.25">
      <c r="A2227" t="s">
        <v>64</v>
      </c>
      <c r="B2227">
        <v>116</v>
      </c>
      <c r="C2227">
        <v>408</v>
      </c>
      <c r="D2227" t="s">
        <v>29</v>
      </c>
      <c r="E2227" t="s">
        <v>30</v>
      </c>
      <c r="F2227">
        <v>19</v>
      </c>
      <c r="G2227">
        <v>155.69999999999999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8.1999999999999993</v>
      </c>
      <c r="Q2227">
        <v>2</v>
      </c>
      <c r="R2227">
        <v>2.21</v>
      </c>
      <c r="S2227">
        <v>3</v>
      </c>
      <c r="T2227" t="b">
        <v>0</v>
      </c>
    </row>
    <row r="2228" spans="1:20" x14ac:dyDescent="0.25">
      <c r="A2228" t="s">
        <v>38</v>
      </c>
      <c r="B2228">
        <v>123</v>
      </c>
      <c r="C2228">
        <v>510</v>
      </c>
      <c r="D2228" t="s">
        <v>29</v>
      </c>
      <c r="E2228" t="s">
        <v>30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4.0199999999999996</v>
      </c>
      <c r="S2228">
        <v>2</v>
      </c>
      <c r="T2228" t="b">
        <v>0</v>
      </c>
    </row>
    <row r="2229" spans="1:20" x14ac:dyDescent="0.25">
      <c r="A2229" t="s">
        <v>43</v>
      </c>
      <c r="B2229">
        <v>146</v>
      </c>
      <c r="C2229">
        <v>415</v>
      </c>
      <c r="D2229" t="s">
        <v>30</v>
      </c>
      <c r="E2229" t="s">
        <v>29</v>
      </c>
      <c r="F2229">
        <v>0</v>
      </c>
      <c r="G2229">
        <v>111.1</v>
      </c>
      <c r="H2229">
        <v>126</v>
      </c>
      <c r="I2229">
        <v>18.89</v>
      </c>
      <c r="J2229">
        <v>313.39999999999998</v>
      </c>
      <c r="K2229">
        <v>95</v>
      </c>
      <c r="L2229">
        <v>26.64</v>
      </c>
      <c r="M2229">
        <v>215.7</v>
      </c>
      <c r="N2229">
        <v>82</v>
      </c>
      <c r="O2229">
        <v>9.7100000000000009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 x14ac:dyDescent="0.25">
      <c r="A2230" t="s">
        <v>71</v>
      </c>
      <c r="B2230">
        <v>106</v>
      </c>
      <c r="C2230">
        <v>510</v>
      </c>
      <c r="D2230" t="s">
        <v>29</v>
      </c>
      <c r="E2230" t="s">
        <v>30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79.900000000000006</v>
      </c>
      <c r="N2230">
        <v>86</v>
      </c>
      <c r="O2230">
        <v>3.6</v>
      </c>
      <c r="P2230">
        <v>8.1999999999999993</v>
      </c>
      <c r="Q2230">
        <v>4</v>
      </c>
      <c r="R2230">
        <v>2.21</v>
      </c>
      <c r="S2230">
        <v>3</v>
      </c>
      <c r="T2230" t="b">
        <v>0</v>
      </c>
    </row>
    <row r="2231" spans="1:20" x14ac:dyDescent="0.25">
      <c r="A2231" t="s">
        <v>68</v>
      </c>
      <c r="B2231">
        <v>121</v>
      </c>
      <c r="C2231">
        <v>408</v>
      </c>
      <c r="D2231" t="s">
        <v>29</v>
      </c>
      <c r="E2231" t="s">
        <v>30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 x14ac:dyDescent="0.25">
      <c r="A2232" t="s">
        <v>57</v>
      </c>
      <c r="B2232">
        <v>137</v>
      </c>
      <c r="C2232">
        <v>510</v>
      </c>
      <c r="D2232" t="s">
        <v>29</v>
      </c>
      <c r="E2232" t="s">
        <v>29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 x14ac:dyDescent="0.25">
      <c r="A2233" t="s">
        <v>48</v>
      </c>
      <c r="B2233">
        <v>67</v>
      </c>
      <c r="C2233">
        <v>510</v>
      </c>
      <c r="D2233" t="s">
        <v>29</v>
      </c>
      <c r="E2233" t="s">
        <v>30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 x14ac:dyDescent="0.25">
      <c r="A2234" t="s">
        <v>57</v>
      </c>
      <c r="B2234">
        <v>161</v>
      </c>
      <c r="C2234">
        <v>408</v>
      </c>
      <c r="D2234" t="s">
        <v>29</v>
      </c>
      <c r="E2234" t="s">
        <v>29</v>
      </c>
      <c r="F2234">
        <v>0</v>
      </c>
      <c r="G2234">
        <v>154.69999999999999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 x14ac:dyDescent="0.25">
      <c r="A2235" t="s">
        <v>72</v>
      </c>
      <c r="B2235">
        <v>62</v>
      </c>
      <c r="C2235">
        <v>415</v>
      </c>
      <c r="D2235" t="s">
        <v>30</v>
      </c>
      <c r="E2235" t="s">
        <v>30</v>
      </c>
      <c r="F2235">
        <v>32</v>
      </c>
      <c r="G2235">
        <v>218.4</v>
      </c>
      <c r="H2235">
        <v>93</v>
      </c>
      <c r="I2235">
        <v>37.130000000000003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 x14ac:dyDescent="0.25">
      <c r="A2236" t="s">
        <v>49</v>
      </c>
      <c r="B2236">
        <v>120</v>
      </c>
      <c r="C2236">
        <v>415</v>
      </c>
      <c r="D2236" t="s">
        <v>29</v>
      </c>
      <c r="E2236" t="s">
        <v>30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2.4300000000000002</v>
      </c>
      <c r="S2236">
        <v>1</v>
      </c>
      <c r="T2236" t="b">
        <v>0</v>
      </c>
    </row>
    <row r="2237" spans="1:20" x14ac:dyDescent="0.25">
      <c r="A2237" t="s">
        <v>60</v>
      </c>
      <c r="B2237">
        <v>130</v>
      </c>
      <c r="C2237">
        <v>408</v>
      </c>
      <c r="D2237" t="s">
        <v>29</v>
      </c>
      <c r="E2237" t="s">
        <v>30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157.80000000000001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 x14ac:dyDescent="0.25">
      <c r="A2238" t="s">
        <v>57</v>
      </c>
      <c r="B2238">
        <v>20</v>
      </c>
      <c r="C2238">
        <v>408</v>
      </c>
      <c r="D2238" t="s">
        <v>29</v>
      </c>
      <c r="E2238" t="s">
        <v>29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273.10000000000002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 x14ac:dyDescent="0.25">
      <c r="A2239" t="s">
        <v>62</v>
      </c>
      <c r="B2239">
        <v>112</v>
      </c>
      <c r="C2239">
        <v>415</v>
      </c>
      <c r="D2239" t="s">
        <v>29</v>
      </c>
      <c r="E2239" t="s">
        <v>29</v>
      </c>
      <c r="F2239">
        <v>0</v>
      </c>
      <c r="G2239">
        <v>208.7</v>
      </c>
      <c r="H2239">
        <v>150</v>
      </c>
      <c r="I2239">
        <v>35.479999999999997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2.2999999999999998</v>
      </c>
      <c r="S2239">
        <v>0</v>
      </c>
      <c r="T2239" t="b">
        <v>0</v>
      </c>
    </row>
    <row r="2240" spans="1:20" x14ac:dyDescent="0.25">
      <c r="A2240" t="s">
        <v>60</v>
      </c>
      <c r="B2240">
        <v>77</v>
      </c>
      <c r="C2240">
        <v>408</v>
      </c>
      <c r="D2240" t="s">
        <v>29</v>
      </c>
      <c r="E2240" t="s">
        <v>29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 x14ac:dyDescent="0.25">
      <c r="A2241" t="s">
        <v>75</v>
      </c>
      <c r="B2241">
        <v>109</v>
      </c>
      <c r="C2241">
        <v>415</v>
      </c>
      <c r="D2241" t="s">
        <v>29</v>
      </c>
      <c r="E2241" t="s">
        <v>29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2.4300000000000002</v>
      </c>
      <c r="S2241">
        <v>2</v>
      </c>
      <c r="T2241" t="b">
        <v>0</v>
      </c>
    </row>
    <row r="2242" spans="1:20" x14ac:dyDescent="0.25">
      <c r="A2242" t="s">
        <v>60</v>
      </c>
      <c r="B2242">
        <v>108</v>
      </c>
      <c r="C2242">
        <v>415</v>
      </c>
      <c r="D2242" t="s">
        <v>29</v>
      </c>
      <c r="E2242" t="s">
        <v>29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 x14ac:dyDescent="0.25">
      <c r="A2243" t="s">
        <v>39</v>
      </c>
      <c r="B2243">
        <v>79</v>
      </c>
      <c r="C2243">
        <v>415</v>
      </c>
      <c r="D2243" t="s">
        <v>29</v>
      </c>
      <c r="E2243" t="s">
        <v>30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9.5399999999999991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 x14ac:dyDescent="0.25">
      <c r="A2244" t="s">
        <v>66</v>
      </c>
      <c r="B2244">
        <v>38</v>
      </c>
      <c r="C2244">
        <v>510</v>
      </c>
      <c r="D2244" t="s">
        <v>29</v>
      </c>
      <c r="E2244" t="s">
        <v>29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9.1999999999999993</v>
      </c>
      <c r="Q2244">
        <v>3</v>
      </c>
      <c r="R2244">
        <v>2.48</v>
      </c>
      <c r="S2244">
        <v>5</v>
      </c>
      <c r="T2244" t="b">
        <v>1</v>
      </c>
    </row>
    <row r="2245" spans="1:20" x14ac:dyDescent="0.25">
      <c r="A2245" t="s">
        <v>56</v>
      </c>
      <c r="B2245">
        <v>109</v>
      </c>
      <c r="C2245">
        <v>415</v>
      </c>
      <c r="D2245" t="s">
        <v>29</v>
      </c>
      <c r="E2245" t="s">
        <v>30</v>
      </c>
      <c r="F2245">
        <v>29</v>
      </c>
      <c r="G2245">
        <v>111.2</v>
      </c>
      <c r="H2245">
        <v>90</v>
      </c>
      <c r="I2245">
        <v>18.899999999999999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2.4300000000000002</v>
      </c>
      <c r="S2245">
        <v>6</v>
      </c>
      <c r="T2245" t="b">
        <v>1</v>
      </c>
    </row>
    <row r="2246" spans="1:20" x14ac:dyDescent="0.25">
      <c r="A2246" t="s">
        <v>73</v>
      </c>
      <c r="B2246">
        <v>78</v>
      </c>
      <c r="C2246">
        <v>415</v>
      </c>
      <c r="D2246" t="s">
        <v>29</v>
      </c>
      <c r="E2246" t="s">
        <v>29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18.260000000000002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 x14ac:dyDescent="0.25">
      <c r="A2247" t="s">
        <v>66</v>
      </c>
      <c r="B2247">
        <v>134</v>
      </c>
      <c r="C2247">
        <v>415</v>
      </c>
      <c r="D2247" t="s">
        <v>29</v>
      </c>
      <c r="E2247" t="s">
        <v>29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 x14ac:dyDescent="0.25">
      <c r="A2248" t="s">
        <v>65</v>
      </c>
      <c r="B2248">
        <v>47</v>
      </c>
      <c r="C2248">
        <v>415</v>
      </c>
      <c r="D2248" t="s">
        <v>29</v>
      </c>
      <c r="E2248" t="s">
        <v>30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284.39999999999998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 x14ac:dyDescent="0.25">
      <c r="A2249" t="s">
        <v>73</v>
      </c>
      <c r="B2249">
        <v>59</v>
      </c>
      <c r="C2249">
        <v>408</v>
      </c>
      <c r="D2249" t="s">
        <v>29</v>
      </c>
      <c r="E2249" t="s">
        <v>30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8.7799999999999994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 x14ac:dyDescent="0.25">
      <c r="A2250" t="s">
        <v>41</v>
      </c>
      <c r="B2250">
        <v>151</v>
      </c>
      <c r="C2250">
        <v>415</v>
      </c>
      <c r="D2250" t="s">
        <v>29</v>
      </c>
      <c r="E2250" t="s">
        <v>29</v>
      </c>
      <c r="F2250">
        <v>0</v>
      </c>
      <c r="G2250">
        <v>194.8</v>
      </c>
      <c r="H2250">
        <v>106</v>
      </c>
      <c r="I2250">
        <v>33.119999999999997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 x14ac:dyDescent="0.25">
      <c r="A2251" t="s">
        <v>64</v>
      </c>
      <c r="B2251">
        <v>129</v>
      </c>
      <c r="C2251">
        <v>415</v>
      </c>
      <c r="D2251" t="s">
        <v>29</v>
      </c>
      <c r="E2251" t="s">
        <v>29</v>
      </c>
      <c r="F2251">
        <v>0</v>
      </c>
      <c r="G2251">
        <v>54.7</v>
      </c>
      <c r="H2251">
        <v>131</v>
      </c>
      <c r="I2251">
        <v>9.3000000000000007</v>
      </c>
      <c r="J2251">
        <v>256.10000000000002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 x14ac:dyDescent="0.25">
      <c r="A2252" t="s">
        <v>43</v>
      </c>
      <c r="B2252">
        <v>107</v>
      </c>
      <c r="C2252">
        <v>510</v>
      </c>
      <c r="D2252" t="s">
        <v>29</v>
      </c>
      <c r="E2252" t="s">
        <v>30</v>
      </c>
      <c r="F2252">
        <v>27</v>
      </c>
      <c r="G2252">
        <v>283.39999999999998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 x14ac:dyDescent="0.25">
      <c r="A2253" t="s">
        <v>40</v>
      </c>
      <c r="B2253">
        <v>137</v>
      </c>
      <c r="C2253">
        <v>408</v>
      </c>
      <c r="D2253" t="s">
        <v>30</v>
      </c>
      <c r="E2253" t="s">
        <v>29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 x14ac:dyDescent="0.25">
      <c r="A2254" t="s">
        <v>74</v>
      </c>
      <c r="B2254">
        <v>76</v>
      </c>
      <c r="C2254">
        <v>510</v>
      </c>
      <c r="D2254" t="s">
        <v>29</v>
      </c>
      <c r="E2254" t="s">
        <v>29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17.989999999999998</v>
      </c>
      <c r="M2254">
        <v>194.9</v>
      </c>
      <c r="N2254">
        <v>76</v>
      </c>
      <c r="O2254">
        <v>8.77</v>
      </c>
      <c r="P2254">
        <v>9.3000000000000007</v>
      </c>
      <c r="Q2254">
        <v>2</v>
      </c>
      <c r="R2254">
        <v>2.5099999999999998</v>
      </c>
      <c r="S2254">
        <v>1</v>
      </c>
      <c r="T2254" t="b">
        <v>0</v>
      </c>
    </row>
    <row r="2255" spans="1:20" x14ac:dyDescent="0.25">
      <c r="A2255" t="s">
        <v>78</v>
      </c>
      <c r="B2255">
        <v>24</v>
      </c>
      <c r="C2255">
        <v>415</v>
      </c>
      <c r="D2255" t="s">
        <v>29</v>
      </c>
      <c r="E2255" t="s">
        <v>29</v>
      </c>
      <c r="F2255">
        <v>0</v>
      </c>
      <c r="G2255">
        <v>235.6</v>
      </c>
      <c r="H2255">
        <v>132</v>
      </c>
      <c r="I2255">
        <v>40.049999999999997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 x14ac:dyDescent="0.25">
      <c r="A2256" t="s">
        <v>64</v>
      </c>
      <c r="B2256">
        <v>169</v>
      </c>
      <c r="C2256">
        <v>408</v>
      </c>
      <c r="D2256" t="s">
        <v>29</v>
      </c>
      <c r="E2256" t="s">
        <v>29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19.670000000000002</v>
      </c>
      <c r="M2256">
        <v>131.19999999999999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 x14ac:dyDescent="0.25">
      <c r="A2257" t="s">
        <v>66</v>
      </c>
      <c r="B2257">
        <v>30</v>
      </c>
      <c r="C2257">
        <v>408</v>
      </c>
      <c r="D2257" t="s">
        <v>29</v>
      </c>
      <c r="E2257" t="s">
        <v>29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10.199999999999999</v>
      </c>
      <c r="Q2257">
        <v>8</v>
      </c>
      <c r="R2257">
        <v>2.75</v>
      </c>
      <c r="S2257">
        <v>1</v>
      </c>
      <c r="T2257" t="b">
        <v>0</v>
      </c>
    </row>
    <row r="2258" spans="1:20" x14ac:dyDescent="0.25">
      <c r="A2258" t="s">
        <v>37</v>
      </c>
      <c r="B2258">
        <v>70</v>
      </c>
      <c r="C2258">
        <v>415</v>
      </c>
      <c r="D2258" t="s">
        <v>29</v>
      </c>
      <c r="E2258" t="s">
        <v>29</v>
      </c>
      <c r="F2258">
        <v>0</v>
      </c>
      <c r="G2258">
        <v>214.8</v>
      </c>
      <c r="H2258">
        <v>87</v>
      </c>
      <c r="I2258">
        <v>36.520000000000003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 x14ac:dyDescent="0.25">
      <c r="A2259" t="s">
        <v>63</v>
      </c>
      <c r="B2259">
        <v>52</v>
      </c>
      <c r="C2259">
        <v>510</v>
      </c>
      <c r="D2259" t="s">
        <v>30</v>
      </c>
      <c r="E2259" t="s">
        <v>29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 x14ac:dyDescent="0.25">
      <c r="A2260" t="s">
        <v>78</v>
      </c>
      <c r="B2260">
        <v>3</v>
      </c>
      <c r="C2260">
        <v>408</v>
      </c>
      <c r="D2260" t="s">
        <v>29</v>
      </c>
      <c r="E2260" t="s">
        <v>29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 x14ac:dyDescent="0.25">
      <c r="A2261" t="s">
        <v>73</v>
      </c>
      <c r="B2261">
        <v>38</v>
      </c>
      <c r="C2261">
        <v>415</v>
      </c>
      <c r="D2261" t="s">
        <v>29</v>
      </c>
      <c r="E2261" t="s">
        <v>29</v>
      </c>
      <c r="F2261">
        <v>0</v>
      </c>
      <c r="G2261">
        <v>117.3</v>
      </c>
      <c r="H2261">
        <v>114</v>
      </c>
      <c r="I2261">
        <v>19.940000000000001</v>
      </c>
      <c r="J2261">
        <v>208.7</v>
      </c>
      <c r="K2261">
        <v>105</v>
      </c>
      <c r="L2261">
        <v>17.739999999999998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 x14ac:dyDescent="0.25">
      <c r="A2262" t="s">
        <v>70</v>
      </c>
      <c r="B2262">
        <v>104</v>
      </c>
      <c r="C2262">
        <v>415</v>
      </c>
      <c r="D2262" t="s">
        <v>29</v>
      </c>
      <c r="E2262" t="s">
        <v>29</v>
      </c>
      <c r="F2262">
        <v>0</v>
      </c>
      <c r="G2262">
        <v>264</v>
      </c>
      <c r="H2262">
        <v>108</v>
      </c>
      <c r="I2262">
        <v>44.88</v>
      </c>
      <c r="J2262">
        <v>132.19999999999999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 x14ac:dyDescent="0.25">
      <c r="A2263" t="s">
        <v>52</v>
      </c>
      <c r="B2263">
        <v>27</v>
      </c>
      <c r="C2263">
        <v>408</v>
      </c>
      <c r="D2263" t="s">
        <v>29</v>
      </c>
      <c r="E2263" t="s">
        <v>29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 x14ac:dyDescent="0.25">
      <c r="A2264" t="s">
        <v>35</v>
      </c>
      <c r="B2264">
        <v>13</v>
      </c>
      <c r="C2264">
        <v>408</v>
      </c>
      <c r="D2264" t="s">
        <v>29</v>
      </c>
      <c r="E2264" t="s">
        <v>29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 x14ac:dyDescent="0.25">
      <c r="A2265" t="s">
        <v>54</v>
      </c>
      <c r="B2265">
        <v>52</v>
      </c>
      <c r="C2265">
        <v>408</v>
      </c>
      <c r="D2265" t="s">
        <v>29</v>
      </c>
      <c r="E2265" t="s">
        <v>29</v>
      </c>
      <c r="F2265">
        <v>0</v>
      </c>
      <c r="G2265">
        <v>217</v>
      </c>
      <c r="H2265">
        <v>104</v>
      </c>
      <c r="I2265">
        <v>36.89</v>
      </c>
      <c r="J2265">
        <v>152.30000000000001</v>
      </c>
      <c r="K2265">
        <v>83</v>
      </c>
      <c r="L2265">
        <v>12.95</v>
      </c>
      <c r="M2265">
        <v>134.30000000000001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 x14ac:dyDescent="0.25">
      <c r="A2266" t="s">
        <v>63</v>
      </c>
      <c r="B2266">
        <v>114</v>
      </c>
      <c r="C2266">
        <v>415</v>
      </c>
      <c r="D2266" t="s">
        <v>29</v>
      </c>
      <c r="E2266" t="s">
        <v>30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 x14ac:dyDescent="0.25">
      <c r="A2267" t="s">
        <v>46</v>
      </c>
      <c r="B2267">
        <v>156</v>
      </c>
      <c r="C2267">
        <v>408</v>
      </c>
      <c r="D2267" t="s">
        <v>29</v>
      </c>
      <c r="E2267" t="s">
        <v>29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9.7200000000000006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 x14ac:dyDescent="0.25">
      <c r="A2268" t="s">
        <v>37</v>
      </c>
      <c r="B2268">
        <v>62</v>
      </c>
      <c r="C2268">
        <v>415</v>
      </c>
      <c r="D2268" t="s">
        <v>29</v>
      </c>
      <c r="E2268" t="s">
        <v>29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8.1300000000000008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 x14ac:dyDescent="0.25">
      <c r="A2269" t="s">
        <v>72</v>
      </c>
      <c r="B2269">
        <v>52</v>
      </c>
      <c r="C2269">
        <v>510</v>
      </c>
      <c r="D2269" t="s">
        <v>29</v>
      </c>
      <c r="E2269" t="s">
        <v>29</v>
      </c>
      <c r="F2269">
        <v>0</v>
      </c>
      <c r="G2269">
        <v>129.30000000000001</v>
      </c>
      <c r="H2269">
        <v>80</v>
      </c>
      <c r="I2269">
        <v>21.98</v>
      </c>
      <c r="J2269">
        <v>142.69999999999999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 x14ac:dyDescent="0.25">
      <c r="A2270" t="s">
        <v>51</v>
      </c>
      <c r="B2270">
        <v>146</v>
      </c>
      <c r="C2270">
        <v>510</v>
      </c>
      <c r="D2270" t="s">
        <v>29</v>
      </c>
      <c r="E2270" t="s">
        <v>29</v>
      </c>
      <c r="F2270">
        <v>0</v>
      </c>
      <c r="G2270">
        <v>115.6</v>
      </c>
      <c r="H2270">
        <v>77</v>
      </c>
      <c r="I2270">
        <v>19.649999999999999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 x14ac:dyDescent="0.25">
      <c r="A2271" t="s">
        <v>38</v>
      </c>
      <c r="B2271">
        <v>120</v>
      </c>
      <c r="C2271">
        <v>415</v>
      </c>
      <c r="D2271" t="s">
        <v>29</v>
      </c>
      <c r="E2271" t="s">
        <v>30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 x14ac:dyDescent="0.25">
      <c r="A2272" t="s">
        <v>57</v>
      </c>
      <c r="B2272">
        <v>90</v>
      </c>
      <c r="C2272">
        <v>408</v>
      </c>
      <c r="D2272" t="s">
        <v>29</v>
      </c>
      <c r="E2272" t="s">
        <v>29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 x14ac:dyDescent="0.25">
      <c r="A2273" t="s">
        <v>67</v>
      </c>
      <c r="B2273">
        <v>147</v>
      </c>
      <c r="C2273">
        <v>408</v>
      </c>
      <c r="D2273" t="s">
        <v>30</v>
      </c>
      <c r="E2273" t="s">
        <v>29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 x14ac:dyDescent="0.25">
      <c r="A2274" t="s">
        <v>49</v>
      </c>
      <c r="B2274">
        <v>159</v>
      </c>
      <c r="C2274">
        <v>415</v>
      </c>
      <c r="D2274" t="s">
        <v>29</v>
      </c>
      <c r="E2274" t="s">
        <v>29</v>
      </c>
      <c r="F2274">
        <v>0</v>
      </c>
      <c r="G2274">
        <v>167.4</v>
      </c>
      <c r="H2274">
        <v>68</v>
      </c>
      <c r="I2274">
        <v>28.46</v>
      </c>
      <c r="J2274">
        <v>143.80000000000001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 x14ac:dyDescent="0.25">
      <c r="A2275" t="s">
        <v>50</v>
      </c>
      <c r="B2275">
        <v>74</v>
      </c>
      <c r="C2275">
        <v>510</v>
      </c>
      <c r="D2275" t="s">
        <v>29</v>
      </c>
      <c r="E2275" t="s">
        <v>30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16.600000000000001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 x14ac:dyDescent="0.25">
      <c r="A2276" t="s">
        <v>74</v>
      </c>
      <c r="B2276">
        <v>87</v>
      </c>
      <c r="C2276">
        <v>415</v>
      </c>
      <c r="D2276" t="s">
        <v>29</v>
      </c>
      <c r="E2276" t="s">
        <v>29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16.600000000000001</v>
      </c>
      <c r="Q2276">
        <v>4</v>
      </c>
      <c r="R2276">
        <v>4.4800000000000004</v>
      </c>
      <c r="S2276">
        <v>2</v>
      </c>
      <c r="T2276" t="b">
        <v>0</v>
      </c>
    </row>
    <row r="2277" spans="1:20" x14ac:dyDescent="0.25">
      <c r="A2277" t="s">
        <v>43</v>
      </c>
      <c r="B2277">
        <v>99</v>
      </c>
      <c r="C2277">
        <v>510</v>
      </c>
      <c r="D2277" t="s">
        <v>29</v>
      </c>
      <c r="E2277" t="s">
        <v>29</v>
      </c>
      <c r="F2277">
        <v>0</v>
      </c>
      <c r="G2277">
        <v>128.30000000000001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143.69999999999999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 x14ac:dyDescent="0.25">
      <c r="A2278" t="s">
        <v>63</v>
      </c>
      <c r="B2278">
        <v>131</v>
      </c>
      <c r="C2278">
        <v>510</v>
      </c>
      <c r="D2278" t="s">
        <v>29</v>
      </c>
      <c r="E2278" t="s">
        <v>29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9.1199999999999992</v>
      </c>
      <c r="P2278">
        <v>10.199999999999999</v>
      </c>
      <c r="Q2278">
        <v>11</v>
      </c>
      <c r="R2278">
        <v>2.75</v>
      </c>
      <c r="S2278">
        <v>2</v>
      </c>
      <c r="T2278" t="b">
        <v>0</v>
      </c>
    </row>
    <row r="2279" spans="1:20" x14ac:dyDescent="0.25">
      <c r="A2279" t="s">
        <v>34</v>
      </c>
      <c r="B2279">
        <v>89</v>
      </c>
      <c r="C2279">
        <v>510</v>
      </c>
      <c r="D2279" t="s">
        <v>29</v>
      </c>
      <c r="E2279" t="s">
        <v>29</v>
      </c>
      <c r="F2279">
        <v>0</v>
      </c>
      <c r="G2279">
        <v>129.19999999999999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 x14ac:dyDescent="0.25">
      <c r="A2280" t="s">
        <v>73</v>
      </c>
      <c r="B2280">
        <v>123</v>
      </c>
      <c r="C2280">
        <v>415</v>
      </c>
      <c r="D2280" t="s">
        <v>30</v>
      </c>
      <c r="E2280" t="s">
        <v>29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 x14ac:dyDescent="0.25">
      <c r="A2281" t="s">
        <v>73</v>
      </c>
      <c r="B2281">
        <v>130</v>
      </c>
      <c r="C2281">
        <v>510</v>
      </c>
      <c r="D2281" t="s">
        <v>29</v>
      </c>
      <c r="E2281" t="s">
        <v>30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 x14ac:dyDescent="0.25">
      <c r="A2282" t="s">
        <v>78</v>
      </c>
      <c r="B2282">
        <v>99</v>
      </c>
      <c r="C2282">
        <v>415</v>
      </c>
      <c r="D2282" t="s">
        <v>29</v>
      </c>
      <c r="E2282" t="s">
        <v>29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 x14ac:dyDescent="0.25">
      <c r="A2283" t="s">
        <v>37</v>
      </c>
      <c r="B2283">
        <v>36</v>
      </c>
      <c r="C2283">
        <v>408</v>
      </c>
      <c r="D2283" t="s">
        <v>29</v>
      </c>
      <c r="E2283" t="s">
        <v>29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18.440000000000001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 x14ac:dyDescent="0.25">
      <c r="A2284" t="s">
        <v>37</v>
      </c>
      <c r="B2284">
        <v>87</v>
      </c>
      <c r="C2284">
        <v>415</v>
      </c>
      <c r="D2284" t="s">
        <v>29</v>
      </c>
      <c r="E2284" t="s">
        <v>29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2.0299999999999998</v>
      </c>
      <c r="S2284">
        <v>3</v>
      </c>
      <c r="T2284" t="b">
        <v>0</v>
      </c>
    </row>
    <row r="2285" spans="1:20" x14ac:dyDescent="0.25">
      <c r="A2285" t="s">
        <v>37</v>
      </c>
      <c r="B2285">
        <v>139</v>
      </c>
      <c r="C2285">
        <v>415</v>
      </c>
      <c r="D2285" t="s">
        <v>29</v>
      </c>
      <c r="E2285" t="s">
        <v>29</v>
      </c>
      <c r="F2285">
        <v>0</v>
      </c>
      <c r="G2285">
        <v>271.60000000000002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136.30000000000001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 x14ac:dyDescent="0.25">
      <c r="A2286" t="s">
        <v>60</v>
      </c>
      <c r="B2286">
        <v>189</v>
      </c>
      <c r="C2286">
        <v>510</v>
      </c>
      <c r="D2286" t="s">
        <v>29</v>
      </c>
      <c r="E2286" t="s">
        <v>29</v>
      </c>
      <c r="F2286">
        <v>0</v>
      </c>
      <c r="G2286">
        <v>219.9</v>
      </c>
      <c r="H2286">
        <v>80</v>
      </c>
      <c r="I2286">
        <v>37.380000000000003</v>
      </c>
      <c r="J2286">
        <v>143.30000000000001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 x14ac:dyDescent="0.25">
      <c r="A2287" t="s">
        <v>67</v>
      </c>
      <c r="B2287">
        <v>96</v>
      </c>
      <c r="C2287">
        <v>415</v>
      </c>
      <c r="D2287" t="s">
        <v>29</v>
      </c>
      <c r="E2287" t="s">
        <v>30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 x14ac:dyDescent="0.25">
      <c r="A2288" t="s">
        <v>59</v>
      </c>
      <c r="B2288">
        <v>112</v>
      </c>
      <c r="C2288">
        <v>408</v>
      </c>
      <c r="D2288" t="s">
        <v>29</v>
      </c>
      <c r="E2288" t="s">
        <v>29</v>
      </c>
      <c r="F2288">
        <v>0</v>
      </c>
      <c r="G2288">
        <v>101.1</v>
      </c>
      <c r="H2288">
        <v>119</v>
      </c>
      <c r="I2288">
        <v>17.190000000000001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 x14ac:dyDescent="0.25">
      <c r="A2289" t="s">
        <v>32</v>
      </c>
      <c r="B2289">
        <v>108</v>
      </c>
      <c r="C2289">
        <v>415</v>
      </c>
      <c r="D2289" t="s">
        <v>29</v>
      </c>
      <c r="E2289" t="s">
        <v>30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 x14ac:dyDescent="0.25">
      <c r="A2290" t="s">
        <v>38</v>
      </c>
      <c r="B2290">
        <v>121</v>
      </c>
      <c r="C2290">
        <v>510</v>
      </c>
      <c r="D2290" t="s">
        <v>29</v>
      </c>
      <c r="E2290" t="s">
        <v>30</v>
      </c>
      <c r="F2290">
        <v>20</v>
      </c>
      <c r="G2290">
        <v>211.9</v>
      </c>
      <c r="H2290">
        <v>110</v>
      </c>
      <c r="I2290">
        <v>36.020000000000003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 x14ac:dyDescent="0.25">
      <c r="A2291" t="s">
        <v>63</v>
      </c>
      <c r="B2291">
        <v>116</v>
      </c>
      <c r="C2291">
        <v>415</v>
      </c>
      <c r="D2291" t="s">
        <v>29</v>
      </c>
      <c r="E2291" t="s">
        <v>29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9.4499999999999993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 x14ac:dyDescent="0.25">
      <c r="A2292" t="s">
        <v>51</v>
      </c>
      <c r="B2292">
        <v>161</v>
      </c>
      <c r="C2292">
        <v>415</v>
      </c>
      <c r="D2292" t="s">
        <v>29</v>
      </c>
      <c r="E2292" t="s">
        <v>29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 x14ac:dyDescent="0.25">
      <c r="A2293" t="s">
        <v>34</v>
      </c>
      <c r="B2293">
        <v>19</v>
      </c>
      <c r="C2293">
        <v>415</v>
      </c>
      <c r="D2293" t="s">
        <v>30</v>
      </c>
      <c r="E2293" t="s">
        <v>29</v>
      </c>
      <c r="F2293">
        <v>0</v>
      </c>
      <c r="G2293">
        <v>237.7</v>
      </c>
      <c r="H2293">
        <v>98</v>
      </c>
      <c r="I2293">
        <v>40.409999999999997</v>
      </c>
      <c r="J2293">
        <v>207.1</v>
      </c>
      <c r="K2293">
        <v>121</v>
      </c>
      <c r="L2293">
        <v>17.600000000000001</v>
      </c>
      <c r="M2293">
        <v>182.2</v>
      </c>
      <c r="N2293">
        <v>95</v>
      </c>
      <c r="O2293">
        <v>8.1999999999999993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 x14ac:dyDescent="0.25">
      <c r="A2294" t="s">
        <v>41</v>
      </c>
      <c r="B2294">
        <v>119</v>
      </c>
      <c r="C2294">
        <v>415</v>
      </c>
      <c r="D2294" t="s">
        <v>30</v>
      </c>
      <c r="E2294" t="s">
        <v>30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 x14ac:dyDescent="0.25">
      <c r="A2295" t="s">
        <v>55</v>
      </c>
      <c r="B2295">
        <v>125</v>
      </c>
      <c r="C2295">
        <v>415</v>
      </c>
      <c r="D2295" t="s">
        <v>29</v>
      </c>
      <c r="E2295" t="s">
        <v>29</v>
      </c>
      <c r="F2295">
        <v>0</v>
      </c>
      <c r="G2295">
        <v>224.9</v>
      </c>
      <c r="H2295">
        <v>102</v>
      </c>
      <c r="I2295">
        <v>38.229999999999997</v>
      </c>
      <c r="J2295">
        <v>143.80000000000001</v>
      </c>
      <c r="K2295">
        <v>87</v>
      </c>
      <c r="L2295">
        <v>12.22</v>
      </c>
      <c r="M2295">
        <v>198.9</v>
      </c>
      <c r="N2295">
        <v>105</v>
      </c>
      <c r="O2295">
        <v>8.9499999999999993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 x14ac:dyDescent="0.25">
      <c r="A2296" t="s">
        <v>60</v>
      </c>
      <c r="B2296">
        <v>156</v>
      </c>
      <c r="C2296">
        <v>510</v>
      </c>
      <c r="D2296" t="s">
        <v>29</v>
      </c>
      <c r="E2296" t="s">
        <v>29</v>
      </c>
      <c r="F2296">
        <v>0</v>
      </c>
      <c r="G2296">
        <v>237.7</v>
      </c>
      <c r="H2296">
        <v>122</v>
      </c>
      <c r="I2296">
        <v>40.409999999999997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 x14ac:dyDescent="0.25">
      <c r="A2297" t="s">
        <v>49</v>
      </c>
      <c r="B2297">
        <v>109</v>
      </c>
      <c r="C2297">
        <v>415</v>
      </c>
      <c r="D2297" t="s">
        <v>29</v>
      </c>
      <c r="E2297" t="s">
        <v>29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 x14ac:dyDescent="0.25">
      <c r="A2298" t="s">
        <v>51</v>
      </c>
      <c r="B2298">
        <v>95</v>
      </c>
      <c r="C2298">
        <v>510</v>
      </c>
      <c r="D2298" t="s">
        <v>29</v>
      </c>
      <c r="E2298" t="s">
        <v>29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8.5299999999999994</v>
      </c>
      <c r="P2298">
        <v>8.1999999999999993</v>
      </c>
      <c r="Q2298">
        <v>3</v>
      </c>
      <c r="R2298">
        <v>2.21</v>
      </c>
      <c r="S2298">
        <v>2</v>
      </c>
      <c r="T2298" t="b">
        <v>0</v>
      </c>
    </row>
    <row r="2299" spans="1:20" x14ac:dyDescent="0.25">
      <c r="A2299" t="s">
        <v>66</v>
      </c>
      <c r="B2299">
        <v>90</v>
      </c>
      <c r="C2299">
        <v>408</v>
      </c>
      <c r="D2299" t="s">
        <v>29</v>
      </c>
      <c r="E2299" t="s">
        <v>29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4.5999999999999996</v>
      </c>
      <c r="Q2299">
        <v>4</v>
      </c>
      <c r="R2299">
        <v>1.24</v>
      </c>
      <c r="S2299">
        <v>1</v>
      </c>
      <c r="T2299" t="b">
        <v>0</v>
      </c>
    </row>
    <row r="2300" spans="1:20" x14ac:dyDescent="0.25">
      <c r="A2300" t="s">
        <v>35</v>
      </c>
      <c r="B2300">
        <v>105</v>
      </c>
      <c r="C2300">
        <v>415</v>
      </c>
      <c r="D2300" t="s">
        <v>29</v>
      </c>
      <c r="E2300" t="s">
        <v>30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267.39999999999998</v>
      </c>
      <c r="N2300">
        <v>93</v>
      </c>
      <c r="O2300">
        <v>12.03</v>
      </c>
      <c r="P2300">
        <v>8.6999999999999993</v>
      </c>
      <c r="Q2300">
        <v>3</v>
      </c>
      <c r="R2300">
        <v>2.35</v>
      </c>
      <c r="S2300">
        <v>2</v>
      </c>
      <c r="T2300" t="b">
        <v>0</v>
      </c>
    </row>
    <row r="2301" spans="1:20" x14ac:dyDescent="0.25">
      <c r="A2301" t="s">
        <v>51</v>
      </c>
      <c r="B2301">
        <v>101</v>
      </c>
      <c r="C2301">
        <v>510</v>
      </c>
      <c r="D2301" t="s">
        <v>29</v>
      </c>
      <c r="E2301" t="s">
        <v>29</v>
      </c>
      <c r="F2301">
        <v>0</v>
      </c>
      <c r="G2301">
        <v>220.3</v>
      </c>
      <c r="H2301">
        <v>124</v>
      </c>
      <c r="I2301">
        <v>37.450000000000003</v>
      </c>
      <c r="J2301">
        <v>188.6</v>
      </c>
      <c r="K2301">
        <v>101</v>
      </c>
      <c r="L2301">
        <v>16.03</v>
      </c>
      <c r="M2301">
        <v>278.39999999999998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 x14ac:dyDescent="0.25">
      <c r="A2302" t="s">
        <v>66</v>
      </c>
      <c r="B2302">
        <v>95</v>
      </c>
      <c r="C2302">
        <v>415</v>
      </c>
      <c r="D2302" t="s">
        <v>29</v>
      </c>
      <c r="E2302" t="s">
        <v>29</v>
      </c>
      <c r="F2302">
        <v>0</v>
      </c>
      <c r="G2302">
        <v>149.19999999999999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9.0500000000000007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 x14ac:dyDescent="0.25">
      <c r="A2303" t="s">
        <v>39</v>
      </c>
      <c r="B2303">
        <v>123</v>
      </c>
      <c r="C2303">
        <v>415</v>
      </c>
      <c r="D2303" t="s">
        <v>29</v>
      </c>
      <c r="E2303" t="s">
        <v>29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 x14ac:dyDescent="0.25">
      <c r="A2304" t="s">
        <v>34</v>
      </c>
      <c r="B2304">
        <v>141</v>
      </c>
      <c r="C2304">
        <v>510</v>
      </c>
      <c r="D2304" t="s">
        <v>29</v>
      </c>
      <c r="E2304" t="s">
        <v>30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 x14ac:dyDescent="0.25">
      <c r="A2305" t="s">
        <v>62</v>
      </c>
      <c r="B2305">
        <v>75</v>
      </c>
      <c r="C2305">
        <v>415</v>
      </c>
      <c r="D2305" t="s">
        <v>29</v>
      </c>
      <c r="E2305" t="s">
        <v>30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9.7100000000000009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 x14ac:dyDescent="0.25">
      <c r="A2306" t="s">
        <v>35</v>
      </c>
      <c r="B2306">
        <v>126</v>
      </c>
      <c r="C2306">
        <v>408</v>
      </c>
      <c r="D2306" t="s">
        <v>29</v>
      </c>
      <c r="E2306" t="s">
        <v>30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 x14ac:dyDescent="0.25">
      <c r="A2307" t="s">
        <v>45</v>
      </c>
      <c r="B2307">
        <v>153</v>
      </c>
      <c r="C2307">
        <v>415</v>
      </c>
      <c r="D2307" t="s">
        <v>29</v>
      </c>
      <c r="E2307" t="s">
        <v>29</v>
      </c>
      <c r="F2307">
        <v>0</v>
      </c>
      <c r="G2307">
        <v>228.9</v>
      </c>
      <c r="H2307">
        <v>102</v>
      </c>
      <c r="I2307">
        <v>38.909999999999997</v>
      </c>
      <c r="J2307">
        <v>160.69999999999999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 x14ac:dyDescent="0.25">
      <c r="A2308" t="s">
        <v>51</v>
      </c>
      <c r="B2308">
        <v>97</v>
      </c>
      <c r="C2308">
        <v>408</v>
      </c>
      <c r="D2308" t="s">
        <v>29</v>
      </c>
      <c r="E2308" t="s">
        <v>30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2.3199999999999998</v>
      </c>
      <c r="S2308">
        <v>2</v>
      </c>
      <c r="T2308" t="b">
        <v>1</v>
      </c>
    </row>
    <row r="2309" spans="1:20" x14ac:dyDescent="0.25">
      <c r="A2309" t="s">
        <v>60</v>
      </c>
      <c r="B2309">
        <v>115</v>
      </c>
      <c r="C2309">
        <v>408</v>
      </c>
      <c r="D2309" t="s">
        <v>29</v>
      </c>
      <c r="E2309" t="s">
        <v>29</v>
      </c>
      <c r="F2309">
        <v>0</v>
      </c>
      <c r="G2309">
        <v>146.69999999999999</v>
      </c>
      <c r="H2309">
        <v>128</v>
      </c>
      <c r="I2309">
        <v>24.94</v>
      </c>
      <c r="J2309">
        <v>106.2</v>
      </c>
      <c r="K2309">
        <v>74</v>
      </c>
      <c r="L2309">
        <v>9.0299999999999994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 x14ac:dyDescent="0.25">
      <c r="A2310" t="s">
        <v>35</v>
      </c>
      <c r="B2310">
        <v>17</v>
      </c>
      <c r="C2310">
        <v>415</v>
      </c>
      <c r="D2310" t="s">
        <v>30</v>
      </c>
      <c r="E2310" t="s">
        <v>29</v>
      </c>
      <c r="F2310">
        <v>0</v>
      </c>
      <c r="G2310">
        <v>162.80000000000001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 x14ac:dyDescent="0.25">
      <c r="A2311" t="s">
        <v>51</v>
      </c>
      <c r="B2311">
        <v>105</v>
      </c>
      <c r="C2311">
        <v>415</v>
      </c>
      <c r="D2311" t="s">
        <v>29</v>
      </c>
      <c r="E2311" t="s">
        <v>30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 x14ac:dyDescent="0.25">
      <c r="A2312" t="s">
        <v>44</v>
      </c>
      <c r="B2312">
        <v>121</v>
      </c>
      <c r="C2312">
        <v>415</v>
      </c>
      <c r="D2312" t="s">
        <v>29</v>
      </c>
      <c r="E2312" t="s">
        <v>29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 x14ac:dyDescent="0.25">
      <c r="A2313" t="s">
        <v>64</v>
      </c>
      <c r="B2313">
        <v>125</v>
      </c>
      <c r="C2313">
        <v>408</v>
      </c>
      <c r="D2313" t="s">
        <v>29</v>
      </c>
      <c r="E2313" t="s">
        <v>29</v>
      </c>
      <c r="F2313">
        <v>0</v>
      </c>
      <c r="G2313">
        <v>212.3</v>
      </c>
      <c r="H2313">
        <v>89</v>
      </c>
      <c r="I2313">
        <v>36.090000000000003</v>
      </c>
      <c r="J2313">
        <v>215.4</v>
      </c>
      <c r="K2313">
        <v>127</v>
      </c>
      <c r="L2313">
        <v>18.309999999999999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 x14ac:dyDescent="0.25">
      <c r="A2314" t="s">
        <v>80</v>
      </c>
      <c r="B2314">
        <v>124</v>
      </c>
      <c r="C2314">
        <v>415</v>
      </c>
      <c r="D2314" t="s">
        <v>29</v>
      </c>
      <c r="E2314" t="s">
        <v>29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152.80000000000001</v>
      </c>
      <c r="N2314">
        <v>81</v>
      </c>
      <c r="O2314">
        <v>6.88</v>
      </c>
      <c r="P2314">
        <v>9.1999999999999993</v>
      </c>
      <c r="Q2314">
        <v>2</v>
      </c>
      <c r="R2314">
        <v>2.48</v>
      </c>
      <c r="S2314">
        <v>2</v>
      </c>
      <c r="T2314" t="b">
        <v>0</v>
      </c>
    </row>
    <row r="2315" spans="1:20" x14ac:dyDescent="0.25">
      <c r="A2315" t="s">
        <v>52</v>
      </c>
      <c r="B2315">
        <v>123</v>
      </c>
      <c r="C2315">
        <v>510</v>
      </c>
      <c r="D2315" t="s">
        <v>29</v>
      </c>
      <c r="E2315" t="s">
        <v>30</v>
      </c>
      <c r="F2315">
        <v>32</v>
      </c>
      <c r="G2315">
        <v>212.3</v>
      </c>
      <c r="H2315">
        <v>77</v>
      </c>
      <c r="I2315">
        <v>36.090000000000003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 x14ac:dyDescent="0.25">
      <c r="A2316" t="s">
        <v>68</v>
      </c>
      <c r="B2316">
        <v>124</v>
      </c>
      <c r="C2316">
        <v>415</v>
      </c>
      <c r="D2316" t="s">
        <v>29</v>
      </c>
      <c r="E2316" t="s">
        <v>29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 x14ac:dyDescent="0.25">
      <c r="A2317" t="s">
        <v>37</v>
      </c>
      <c r="B2317">
        <v>133</v>
      </c>
      <c r="C2317">
        <v>510</v>
      </c>
      <c r="D2317" t="s">
        <v>29</v>
      </c>
      <c r="E2317" t="s">
        <v>29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 x14ac:dyDescent="0.25">
      <c r="A2318" t="s">
        <v>75</v>
      </c>
      <c r="B2318">
        <v>1</v>
      </c>
      <c r="C2318">
        <v>415</v>
      </c>
      <c r="D2318" t="s">
        <v>29</v>
      </c>
      <c r="E2318" t="s">
        <v>30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 x14ac:dyDescent="0.25">
      <c r="A2319" t="s">
        <v>28</v>
      </c>
      <c r="B2319">
        <v>107</v>
      </c>
      <c r="C2319">
        <v>415</v>
      </c>
      <c r="D2319" t="s">
        <v>29</v>
      </c>
      <c r="E2319" t="s">
        <v>29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8.6999999999999993</v>
      </c>
      <c r="M2319">
        <v>129.69999999999999</v>
      </c>
      <c r="N2319">
        <v>148</v>
      </c>
      <c r="O2319">
        <v>5.84</v>
      </c>
      <c r="P2319">
        <v>9.8000000000000007</v>
      </c>
      <c r="Q2319">
        <v>5</v>
      </c>
      <c r="R2319">
        <v>2.65</v>
      </c>
      <c r="S2319">
        <v>1</v>
      </c>
      <c r="T2319" t="b">
        <v>0</v>
      </c>
    </row>
    <row r="2320" spans="1:20" x14ac:dyDescent="0.25">
      <c r="A2320" t="s">
        <v>70</v>
      </c>
      <c r="B2320">
        <v>91</v>
      </c>
      <c r="C2320">
        <v>415</v>
      </c>
      <c r="D2320" t="s">
        <v>29</v>
      </c>
      <c r="E2320" t="s">
        <v>30</v>
      </c>
      <c r="F2320">
        <v>20</v>
      </c>
      <c r="G2320">
        <v>146.1</v>
      </c>
      <c r="H2320">
        <v>98</v>
      </c>
      <c r="I2320">
        <v>24.84</v>
      </c>
      <c r="J2320">
        <v>277.39999999999998</v>
      </c>
      <c r="K2320">
        <v>104</v>
      </c>
      <c r="L2320">
        <v>23.58</v>
      </c>
      <c r="M2320">
        <v>137.69999999999999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 x14ac:dyDescent="0.25">
      <c r="A2321" t="s">
        <v>74</v>
      </c>
      <c r="B2321">
        <v>178</v>
      </c>
      <c r="C2321">
        <v>408</v>
      </c>
      <c r="D2321" t="s">
        <v>30</v>
      </c>
      <c r="E2321" t="s">
        <v>29</v>
      </c>
      <c r="F2321">
        <v>0</v>
      </c>
      <c r="G2321">
        <v>124.5</v>
      </c>
      <c r="H2321">
        <v>134</v>
      </c>
      <c r="I2321">
        <v>21.17</v>
      </c>
      <c r="J2321">
        <v>141.19999999999999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 x14ac:dyDescent="0.25">
      <c r="A2322" t="s">
        <v>35</v>
      </c>
      <c r="B2322">
        <v>123</v>
      </c>
      <c r="C2322">
        <v>415</v>
      </c>
      <c r="D2322" t="s">
        <v>29</v>
      </c>
      <c r="E2322" t="s">
        <v>29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9.8000000000000007</v>
      </c>
      <c r="Q2322">
        <v>11</v>
      </c>
      <c r="R2322">
        <v>2.65</v>
      </c>
      <c r="S2322">
        <v>1</v>
      </c>
      <c r="T2322" t="b">
        <v>0</v>
      </c>
    </row>
    <row r="2323" spans="1:20" x14ac:dyDescent="0.25">
      <c r="A2323" t="s">
        <v>61</v>
      </c>
      <c r="B2323">
        <v>170</v>
      </c>
      <c r="C2323">
        <v>415</v>
      </c>
      <c r="D2323" t="s">
        <v>29</v>
      </c>
      <c r="E2323" t="s">
        <v>29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8.6999999999999993</v>
      </c>
      <c r="Q2323">
        <v>4</v>
      </c>
      <c r="R2323">
        <v>2.35</v>
      </c>
      <c r="S2323">
        <v>1</v>
      </c>
      <c r="T2323" t="b">
        <v>1</v>
      </c>
    </row>
    <row r="2324" spans="1:20" x14ac:dyDescent="0.25">
      <c r="A2324" t="s">
        <v>78</v>
      </c>
      <c r="B2324">
        <v>135</v>
      </c>
      <c r="C2324">
        <v>415</v>
      </c>
      <c r="D2324" t="s">
        <v>29</v>
      </c>
      <c r="E2324" t="s">
        <v>29</v>
      </c>
      <c r="F2324">
        <v>0</v>
      </c>
      <c r="G2324">
        <v>190.9</v>
      </c>
      <c r="H2324">
        <v>44</v>
      </c>
      <c r="I2324">
        <v>32.450000000000003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 x14ac:dyDescent="0.25">
      <c r="A2325" t="s">
        <v>58</v>
      </c>
      <c r="B2325">
        <v>134</v>
      </c>
      <c r="C2325">
        <v>415</v>
      </c>
      <c r="D2325" t="s">
        <v>29</v>
      </c>
      <c r="E2325" t="s">
        <v>30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136.69999999999999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 x14ac:dyDescent="0.25">
      <c r="A2326" t="s">
        <v>80</v>
      </c>
      <c r="B2326">
        <v>93</v>
      </c>
      <c r="C2326">
        <v>415</v>
      </c>
      <c r="D2326" t="s">
        <v>29</v>
      </c>
      <c r="E2326" t="s">
        <v>29</v>
      </c>
      <c r="F2326">
        <v>0</v>
      </c>
      <c r="G2326">
        <v>271.10000000000002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 x14ac:dyDescent="0.25">
      <c r="A2327" t="s">
        <v>47</v>
      </c>
      <c r="B2327">
        <v>138</v>
      </c>
      <c r="C2327">
        <v>415</v>
      </c>
      <c r="D2327" t="s">
        <v>29</v>
      </c>
      <c r="E2327" t="s">
        <v>29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 x14ac:dyDescent="0.25">
      <c r="A2328" t="s">
        <v>58</v>
      </c>
      <c r="B2328">
        <v>159</v>
      </c>
      <c r="C2328">
        <v>510</v>
      </c>
      <c r="D2328" t="s">
        <v>29</v>
      </c>
      <c r="E2328" t="s">
        <v>29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 x14ac:dyDescent="0.25">
      <c r="A2329" t="s">
        <v>59</v>
      </c>
      <c r="B2329">
        <v>103</v>
      </c>
      <c r="C2329">
        <v>415</v>
      </c>
      <c r="D2329" t="s">
        <v>29</v>
      </c>
      <c r="E2329" t="s">
        <v>30</v>
      </c>
      <c r="F2329">
        <v>34</v>
      </c>
      <c r="G2329">
        <v>138.80000000000001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 x14ac:dyDescent="0.25">
      <c r="A2330" t="s">
        <v>35</v>
      </c>
      <c r="B2330">
        <v>150</v>
      </c>
      <c r="C2330">
        <v>408</v>
      </c>
      <c r="D2330" t="s">
        <v>29</v>
      </c>
      <c r="E2330" t="s">
        <v>30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 x14ac:dyDescent="0.25">
      <c r="A2331" t="s">
        <v>80</v>
      </c>
      <c r="B2331">
        <v>37</v>
      </c>
      <c r="C2331">
        <v>408</v>
      </c>
      <c r="D2331" t="s">
        <v>29</v>
      </c>
      <c r="E2331" t="s">
        <v>29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 x14ac:dyDescent="0.25">
      <c r="A2332" t="s">
        <v>56</v>
      </c>
      <c r="B2332">
        <v>33</v>
      </c>
      <c r="C2332">
        <v>415</v>
      </c>
      <c r="D2332" t="s">
        <v>30</v>
      </c>
      <c r="E2332" t="s">
        <v>29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 x14ac:dyDescent="0.25">
      <c r="A2333" t="s">
        <v>63</v>
      </c>
      <c r="B2333">
        <v>55</v>
      </c>
      <c r="C2333">
        <v>415</v>
      </c>
      <c r="D2333" t="s">
        <v>29</v>
      </c>
      <c r="E2333" t="s">
        <v>29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141.69999999999999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 x14ac:dyDescent="0.25">
      <c r="A2334" t="s">
        <v>80</v>
      </c>
      <c r="B2334">
        <v>107</v>
      </c>
      <c r="C2334">
        <v>408</v>
      </c>
      <c r="D2334" t="s">
        <v>29</v>
      </c>
      <c r="E2334" t="s">
        <v>29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 x14ac:dyDescent="0.25">
      <c r="A2335" t="s">
        <v>73</v>
      </c>
      <c r="B2335">
        <v>78</v>
      </c>
      <c r="C2335">
        <v>408</v>
      </c>
      <c r="D2335" t="s">
        <v>29</v>
      </c>
      <c r="E2335" t="s">
        <v>29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 x14ac:dyDescent="0.25">
      <c r="A2336" t="s">
        <v>40</v>
      </c>
      <c r="B2336">
        <v>85</v>
      </c>
      <c r="C2336">
        <v>408</v>
      </c>
      <c r="D2336" t="s">
        <v>29</v>
      </c>
      <c r="E2336" t="s">
        <v>30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9.3000000000000007</v>
      </c>
      <c r="Q2336">
        <v>7</v>
      </c>
      <c r="R2336">
        <v>2.5099999999999998</v>
      </c>
      <c r="S2336">
        <v>4</v>
      </c>
      <c r="T2336" t="b">
        <v>1</v>
      </c>
    </row>
    <row r="2337" spans="1:20" x14ac:dyDescent="0.25">
      <c r="A2337" t="s">
        <v>54</v>
      </c>
      <c r="B2337">
        <v>61</v>
      </c>
      <c r="C2337">
        <v>415</v>
      </c>
      <c r="D2337" t="s">
        <v>29</v>
      </c>
      <c r="E2337" t="s">
        <v>30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259.60000000000002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 x14ac:dyDescent="0.25">
      <c r="A2338" t="s">
        <v>59</v>
      </c>
      <c r="B2338">
        <v>97</v>
      </c>
      <c r="C2338">
        <v>415</v>
      </c>
      <c r="D2338" t="s">
        <v>29</v>
      </c>
      <c r="E2338" t="s">
        <v>30</v>
      </c>
      <c r="F2338">
        <v>32</v>
      </c>
      <c r="G2338">
        <v>183.4</v>
      </c>
      <c r="H2338">
        <v>94</v>
      </c>
      <c r="I2338">
        <v>31.18</v>
      </c>
      <c r="J2338">
        <v>269.10000000000002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 x14ac:dyDescent="0.25">
      <c r="A2339" t="s">
        <v>31</v>
      </c>
      <c r="B2339">
        <v>136</v>
      </c>
      <c r="C2339">
        <v>408</v>
      </c>
      <c r="D2339" t="s">
        <v>30</v>
      </c>
      <c r="E2339" t="s">
        <v>29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 x14ac:dyDescent="0.25">
      <c r="A2340" t="s">
        <v>66</v>
      </c>
      <c r="B2340">
        <v>135</v>
      </c>
      <c r="C2340">
        <v>408</v>
      </c>
      <c r="D2340" t="s">
        <v>29</v>
      </c>
      <c r="E2340" t="s">
        <v>29</v>
      </c>
      <c r="F2340">
        <v>0</v>
      </c>
      <c r="G2340">
        <v>155.19999999999999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 x14ac:dyDescent="0.25">
      <c r="A2341" t="s">
        <v>62</v>
      </c>
      <c r="B2341">
        <v>87</v>
      </c>
      <c r="C2341">
        <v>415</v>
      </c>
      <c r="D2341" t="s">
        <v>29</v>
      </c>
      <c r="E2341" t="s">
        <v>30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 x14ac:dyDescent="0.25">
      <c r="A2342" t="s">
        <v>68</v>
      </c>
      <c r="B2342">
        <v>148</v>
      </c>
      <c r="C2342">
        <v>415</v>
      </c>
      <c r="D2342" t="s">
        <v>29</v>
      </c>
      <c r="E2342" t="s">
        <v>29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 x14ac:dyDescent="0.25">
      <c r="A2343" t="s">
        <v>75</v>
      </c>
      <c r="B2343">
        <v>99</v>
      </c>
      <c r="C2343">
        <v>415</v>
      </c>
      <c r="D2343" t="s">
        <v>29</v>
      </c>
      <c r="E2343" t="s">
        <v>29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 x14ac:dyDescent="0.25">
      <c r="A2344" t="s">
        <v>37</v>
      </c>
      <c r="B2344">
        <v>123</v>
      </c>
      <c r="C2344">
        <v>415</v>
      </c>
      <c r="D2344" t="s">
        <v>29</v>
      </c>
      <c r="E2344" t="s">
        <v>29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 x14ac:dyDescent="0.25">
      <c r="A2345" t="s">
        <v>67</v>
      </c>
      <c r="B2345">
        <v>127</v>
      </c>
      <c r="C2345">
        <v>415</v>
      </c>
      <c r="D2345" t="s">
        <v>30</v>
      </c>
      <c r="E2345" t="s">
        <v>29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156.69999999999999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 x14ac:dyDescent="0.25">
      <c r="A2346" t="s">
        <v>49</v>
      </c>
      <c r="B2346">
        <v>151</v>
      </c>
      <c r="C2346">
        <v>415</v>
      </c>
      <c r="D2346" t="s">
        <v>29</v>
      </c>
      <c r="E2346" t="s">
        <v>29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1.1599999999999999</v>
      </c>
      <c r="S2346">
        <v>0</v>
      </c>
      <c r="T2346" t="b">
        <v>0</v>
      </c>
    </row>
    <row r="2347" spans="1:20" x14ac:dyDescent="0.25">
      <c r="A2347" t="s">
        <v>62</v>
      </c>
      <c r="B2347">
        <v>185</v>
      </c>
      <c r="C2347">
        <v>408</v>
      </c>
      <c r="D2347" t="s">
        <v>29</v>
      </c>
      <c r="E2347" t="s">
        <v>29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 x14ac:dyDescent="0.25">
      <c r="A2348" t="s">
        <v>49</v>
      </c>
      <c r="B2348">
        <v>58</v>
      </c>
      <c r="C2348">
        <v>510</v>
      </c>
      <c r="D2348" t="s">
        <v>29</v>
      </c>
      <c r="E2348" t="s">
        <v>29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 x14ac:dyDescent="0.25">
      <c r="A2349" t="s">
        <v>35</v>
      </c>
      <c r="B2349">
        <v>58</v>
      </c>
      <c r="C2349">
        <v>408</v>
      </c>
      <c r="D2349" t="s">
        <v>29</v>
      </c>
      <c r="E2349" t="s">
        <v>29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8.2100000000000009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 x14ac:dyDescent="0.25">
      <c r="A2350" t="s">
        <v>61</v>
      </c>
      <c r="B2350">
        <v>108</v>
      </c>
      <c r="C2350">
        <v>415</v>
      </c>
      <c r="D2350" t="s">
        <v>29</v>
      </c>
      <c r="E2350" t="s">
        <v>29</v>
      </c>
      <c r="F2350">
        <v>0</v>
      </c>
      <c r="G2350">
        <v>210.6</v>
      </c>
      <c r="H2350">
        <v>117</v>
      </c>
      <c r="I2350">
        <v>35.799999999999997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 x14ac:dyDescent="0.25">
      <c r="A2351" t="s">
        <v>66</v>
      </c>
      <c r="B2351">
        <v>132</v>
      </c>
      <c r="C2351">
        <v>510</v>
      </c>
      <c r="D2351" t="s">
        <v>29</v>
      </c>
      <c r="E2351" t="s">
        <v>29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 x14ac:dyDescent="0.25">
      <c r="A2352" t="s">
        <v>48</v>
      </c>
      <c r="B2352">
        <v>80</v>
      </c>
      <c r="C2352">
        <v>415</v>
      </c>
      <c r="D2352" t="s">
        <v>29</v>
      </c>
      <c r="E2352" t="s">
        <v>29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8.8800000000000008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 x14ac:dyDescent="0.25">
      <c r="A2353" t="s">
        <v>71</v>
      </c>
      <c r="B2353">
        <v>110</v>
      </c>
      <c r="C2353">
        <v>510</v>
      </c>
      <c r="D2353" t="s">
        <v>29</v>
      </c>
      <c r="E2353" t="s">
        <v>29</v>
      </c>
      <c r="F2353">
        <v>0</v>
      </c>
      <c r="G2353">
        <v>99.4</v>
      </c>
      <c r="H2353">
        <v>62</v>
      </c>
      <c r="I2353">
        <v>16.899999999999999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9.5399999999999991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 x14ac:dyDescent="0.25">
      <c r="A2354" t="s">
        <v>70</v>
      </c>
      <c r="B2354">
        <v>168</v>
      </c>
      <c r="C2354">
        <v>408</v>
      </c>
      <c r="D2354" t="s">
        <v>29</v>
      </c>
      <c r="E2354" t="s">
        <v>29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 x14ac:dyDescent="0.25">
      <c r="A2355" t="s">
        <v>46</v>
      </c>
      <c r="B2355">
        <v>125</v>
      </c>
      <c r="C2355">
        <v>408</v>
      </c>
      <c r="D2355" t="s">
        <v>29</v>
      </c>
      <c r="E2355" t="s">
        <v>30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10.199999999999999</v>
      </c>
      <c r="Q2355">
        <v>3</v>
      </c>
      <c r="R2355">
        <v>2.75</v>
      </c>
      <c r="S2355">
        <v>1</v>
      </c>
      <c r="T2355" t="b">
        <v>0</v>
      </c>
    </row>
    <row r="2356" spans="1:20" x14ac:dyDescent="0.25">
      <c r="A2356" t="s">
        <v>69</v>
      </c>
      <c r="B2356">
        <v>170</v>
      </c>
      <c r="C2356">
        <v>510</v>
      </c>
      <c r="D2356" t="s">
        <v>29</v>
      </c>
      <c r="E2356" t="s">
        <v>29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17.420000000000002</v>
      </c>
      <c r="M2356">
        <v>224.3</v>
      </c>
      <c r="N2356">
        <v>133</v>
      </c>
      <c r="O2356">
        <v>10.09</v>
      </c>
      <c r="P2356">
        <v>9.8000000000000007</v>
      </c>
      <c r="Q2356">
        <v>3</v>
      </c>
      <c r="R2356">
        <v>2.65</v>
      </c>
      <c r="S2356">
        <v>2</v>
      </c>
      <c r="T2356" t="b">
        <v>0</v>
      </c>
    </row>
    <row r="2357" spans="1:20" x14ac:dyDescent="0.25">
      <c r="A2357" t="s">
        <v>54</v>
      </c>
      <c r="B2357">
        <v>71</v>
      </c>
      <c r="C2357">
        <v>510</v>
      </c>
      <c r="D2357" t="s">
        <v>29</v>
      </c>
      <c r="E2357" t="s">
        <v>29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19.760000000000002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4.0199999999999996</v>
      </c>
      <c r="S2357">
        <v>3</v>
      </c>
      <c r="T2357" t="b">
        <v>0</v>
      </c>
    </row>
    <row r="2358" spans="1:20" x14ac:dyDescent="0.25">
      <c r="A2358" t="s">
        <v>75</v>
      </c>
      <c r="B2358">
        <v>124</v>
      </c>
      <c r="C2358">
        <v>415</v>
      </c>
      <c r="D2358" t="s">
        <v>29</v>
      </c>
      <c r="E2358" t="s">
        <v>29</v>
      </c>
      <c r="F2358">
        <v>0</v>
      </c>
      <c r="G2358">
        <v>160.9</v>
      </c>
      <c r="H2358">
        <v>109</v>
      </c>
      <c r="I2358">
        <v>27.35</v>
      </c>
      <c r="J2358">
        <v>144.19999999999999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 x14ac:dyDescent="0.25">
      <c r="A2359" t="s">
        <v>28</v>
      </c>
      <c r="B2359">
        <v>68</v>
      </c>
      <c r="C2359">
        <v>415</v>
      </c>
      <c r="D2359" t="s">
        <v>29</v>
      </c>
      <c r="E2359" t="s">
        <v>29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8.6199999999999992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 x14ac:dyDescent="0.25">
      <c r="A2360" t="s">
        <v>61</v>
      </c>
      <c r="B2360">
        <v>97</v>
      </c>
      <c r="C2360">
        <v>415</v>
      </c>
      <c r="D2360" t="s">
        <v>29</v>
      </c>
      <c r="E2360" t="s">
        <v>29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 x14ac:dyDescent="0.25">
      <c r="A2361" t="s">
        <v>50</v>
      </c>
      <c r="B2361">
        <v>98</v>
      </c>
      <c r="C2361">
        <v>510</v>
      </c>
      <c r="D2361" t="s">
        <v>30</v>
      </c>
      <c r="E2361" t="s">
        <v>29</v>
      </c>
      <c r="F2361">
        <v>0</v>
      </c>
      <c r="G2361">
        <v>158.4</v>
      </c>
      <c r="H2361">
        <v>71</v>
      </c>
      <c r="I2361">
        <v>26.93</v>
      </c>
      <c r="J2361">
        <v>306.60000000000002</v>
      </c>
      <c r="K2361">
        <v>66</v>
      </c>
      <c r="L2361">
        <v>26.06</v>
      </c>
      <c r="M2361">
        <v>144.19999999999999</v>
      </c>
      <c r="N2361">
        <v>93</v>
      </c>
      <c r="O2361">
        <v>6.49</v>
      </c>
      <c r="P2361">
        <v>2.1</v>
      </c>
      <c r="Q2361">
        <v>4</v>
      </c>
      <c r="R2361">
        <v>0.56999999999999995</v>
      </c>
      <c r="S2361">
        <v>1</v>
      </c>
      <c r="T2361" t="b">
        <v>0</v>
      </c>
    </row>
    <row r="2362" spans="1:20" x14ac:dyDescent="0.25">
      <c r="A2362" t="s">
        <v>69</v>
      </c>
      <c r="B2362">
        <v>24</v>
      </c>
      <c r="C2362">
        <v>408</v>
      </c>
      <c r="D2362" t="s">
        <v>29</v>
      </c>
      <c r="E2362" t="s">
        <v>29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2.3199999999999998</v>
      </c>
      <c r="S2362">
        <v>2</v>
      </c>
      <c r="T2362" t="b">
        <v>1</v>
      </c>
    </row>
    <row r="2363" spans="1:20" x14ac:dyDescent="0.25">
      <c r="A2363" t="s">
        <v>69</v>
      </c>
      <c r="B2363">
        <v>136</v>
      </c>
      <c r="C2363">
        <v>510</v>
      </c>
      <c r="D2363" t="s">
        <v>29</v>
      </c>
      <c r="E2363" t="s">
        <v>29</v>
      </c>
      <c r="F2363">
        <v>0</v>
      </c>
      <c r="G2363">
        <v>204.5</v>
      </c>
      <c r="H2363">
        <v>63</v>
      </c>
      <c r="I2363">
        <v>34.770000000000003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9.8000000000000007</v>
      </c>
      <c r="Q2363">
        <v>2</v>
      </c>
      <c r="R2363">
        <v>2.65</v>
      </c>
      <c r="S2363">
        <v>0</v>
      </c>
      <c r="T2363" t="b">
        <v>0</v>
      </c>
    </row>
    <row r="2364" spans="1:20" x14ac:dyDescent="0.25">
      <c r="A2364" t="s">
        <v>33</v>
      </c>
      <c r="B2364">
        <v>44</v>
      </c>
      <c r="C2364">
        <v>408</v>
      </c>
      <c r="D2364" t="s">
        <v>29</v>
      </c>
      <c r="E2364" t="s">
        <v>29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 x14ac:dyDescent="0.25">
      <c r="A2365" t="s">
        <v>71</v>
      </c>
      <c r="B2365">
        <v>96</v>
      </c>
      <c r="C2365">
        <v>415</v>
      </c>
      <c r="D2365" t="s">
        <v>29</v>
      </c>
      <c r="E2365" t="s">
        <v>30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 x14ac:dyDescent="0.25">
      <c r="A2366" t="s">
        <v>78</v>
      </c>
      <c r="B2366">
        <v>24</v>
      </c>
      <c r="C2366">
        <v>415</v>
      </c>
      <c r="D2366" t="s">
        <v>29</v>
      </c>
      <c r="E2366" t="s">
        <v>29</v>
      </c>
      <c r="F2366">
        <v>0</v>
      </c>
      <c r="G2366">
        <v>156.19999999999999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 x14ac:dyDescent="0.25">
      <c r="A2367" t="s">
        <v>75</v>
      </c>
      <c r="B2367">
        <v>112</v>
      </c>
      <c r="C2367">
        <v>415</v>
      </c>
      <c r="D2367" t="s">
        <v>29</v>
      </c>
      <c r="E2367" t="s">
        <v>30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 x14ac:dyDescent="0.25">
      <c r="A2368" t="s">
        <v>53</v>
      </c>
      <c r="B2368">
        <v>117</v>
      </c>
      <c r="C2368">
        <v>415</v>
      </c>
      <c r="D2368" t="s">
        <v>30</v>
      </c>
      <c r="E2368" t="s">
        <v>29</v>
      </c>
      <c r="F2368">
        <v>0</v>
      </c>
      <c r="G2368">
        <v>287.39999999999998</v>
      </c>
      <c r="H2368">
        <v>118</v>
      </c>
      <c r="I2368">
        <v>48.86</v>
      </c>
      <c r="J2368">
        <v>259.60000000000002</v>
      </c>
      <c r="K2368">
        <v>84</v>
      </c>
      <c r="L2368">
        <v>22.07</v>
      </c>
      <c r="M2368">
        <v>153.19999999999999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 x14ac:dyDescent="0.25">
      <c r="A2369" t="s">
        <v>28</v>
      </c>
      <c r="B2369">
        <v>137</v>
      </c>
      <c r="C2369">
        <v>415</v>
      </c>
      <c r="D2369" t="s">
        <v>29</v>
      </c>
      <c r="E2369" t="s">
        <v>30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 x14ac:dyDescent="0.25">
      <c r="A2370" t="s">
        <v>61</v>
      </c>
      <c r="B2370">
        <v>95</v>
      </c>
      <c r="C2370">
        <v>415</v>
      </c>
      <c r="D2370" t="s">
        <v>29</v>
      </c>
      <c r="E2370" t="s">
        <v>29</v>
      </c>
      <c r="F2370">
        <v>0</v>
      </c>
      <c r="G2370">
        <v>157.9</v>
      </c>
      <c r="H2370">
        <v>103</v>
      </c>
      <c r="I2370">
        <v>26.84</v>
      </c>
      <c r="J2370">
        <v>259.60000000000002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 x14ac:dyDescent="0.25">
      <c r="A2371" t="s">
        <v>79</v>
      </c>
      <c r="B2371">
        <v>145</v>
      </c>
      <c r="C2371">
        <v>415</v>
      </c>
      <c r="D2371" t="s">
        <v>29</v>
      </c>
      <c r="E2371" t="s">
        <v>29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2.4300000000000002</v>
      </c>
      <c r="S2371">
        <v>1</v>
      </c>
      <c r="T2371" t="b">
        <v>1</v>
      </c>
    </row>
    <row r="2372" spans="1:20" x14ac:dyDescent="0.25">
      <c r="A2372" t="s">
        <v>71</v>
      </c>
      <c r="B2372">
        <v>56</v>
      </c>
      <c r="C2372">
        <v>415</v>
      </c>
      <c r="D2372" t="s">
        <v>30</v>
      </c>
      <c r="E2372" t="s">
        <v>29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18.329999999999998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 x14ac:dyDescent="0.25">
      <c r="A2373" t="s">
        <v>31</v>
      </c>
      <c r="B2373">
        <v>133</v>
      </c>
      <c r="C2373">
        <v>408</v>
      </c>
      <c r="D2373" t="s">
        <v>29</v>
      </c>
      <c r="E2373" t="s">
        <v>29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 x14ac:dyDescent="0.25">
      <c r="A2374" t="s">
        <v>44</v>
      </c>
      <c r="B2374">
        <v>53</v>
      </c>
      <c r="C2374">
        <v>415</v>
      </c>
      <c r="D2374" t="s">
        <v>29</v>
      </c>
      <c r="E2374" t="s">
        <v>29</v>
      </c>
      <c r="F2374">
        <v>0</v>
      </c>
      <c r="G2374">
        <v>119.7</v>
      </c>
      <c r="H2374">
        <v>113</v>
      </c>
      <c r="I2374">
        <v>20.350000000000001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 x14ac:dyDescent="0.25">
      <c r="A2375" t="s">
        <v>49</v>
      </c>
      <c r="B2375">
        <v>123</v>
      </c>
      <c r="C2375">
        <v>415</v>
      </c>
      <c r="D2375" t="s">
        <v>29</v>
      </c>
      <c r="E2375" t="s">
        <v>29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268.60000000000002</v>
      </c>
      <c r="N2375">
        <v>121</v>
      </c>
      <c r="O2375">
        <v>12.09</v>
      </c>
      <c r="P2375">
        <v>8.1999999999999993</v>
      </c>
      <c r="Q2375">
        <v>3</v>
      </c>
      <c r="R2375">
        <v>2.21</v>
      </c>
      <c r="S2375">
        <v>5</v>
      </c>
      <c r="T2375" t="b">
        <v>1</v>
      </c>
    </row>
    <row r="2376" spans="1:20" x14ac:dyDescent="0.25">
      <c r="A2376" t="s">
        <v>37</v>
      </c>
      <c r="B2376">
        <v>62</v>
      </c>
      <c r="C2376">
        <v>408</v>
      </c>
      <c r="D2376" t="s">
        <v>29</v>
      </c>
      <c r="E2376" t="s">
        <v>29</v>
      </c>
      <c r="F2376">
        <v>0</v>
      </c>
      <c r="G2376">
        <v>128.69999999999999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8.7100000000000009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 x14ac:dyDescent="0.25">
      <c r="A2377" t="s">
        <v>74</v>
      </c>
      <c r="B2377">
        <v>55</v>
      </c>
      <c r="C2377">
        <v>415</v>
      </c>
      <c r="D2377" t="s">
        <v>29</v>
      </c>
      <c r="E2377" t="s">
        <v>30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 x14ac:dyDescent="0.25">
      <c r="A2378" t="s">
        <v>70</v>
      </c>
      <c r="B2378">
        <v>125</v>
      </c>
      <c r="C2378">
        <v>415</v>
      </c>
      <c r="D2378" t="s">
        <v>29</v>
      </c>
      <c r="E2378" t="s">
        <v>29</v>
      </c>
      <c r="F2378">
        <v>0</v>
      </c>
      <c r="G2378">
        <v>233.3</v>
      </c>
      <c r="H2378">
        <v>65</v>
      </c>
      <c r="I2378">
        <v>39.659999999999997</v>
      </c>
      <c r="J2378">
        <v>209.8</v>
      </c>
      <c r="K2378">
        <v>93</v>
      </c>
      <c r="L2378">
        <v>17.829999999999998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 x14ac:dyDescent="0.25">
      <c r="A2379" t="s">
        <v>44</v>
      </c>
      <c r="B2379">
        <v>1</v>
      </c>
      <c r="C2379">
        <v>415</v>
      </c>
      <c r="D2379" t="s">
        <v>29</v>
      </c>
      <c r="E2379" t="s">
        <v>29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152.30000000000001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 x14ac:dyDescent="0.25">
      <c r="A2380" t="s">
        <v>71</v>
      </c>
      <c r="B2380">
        <v>98</v>
      </c>
      <c r="C2380">
        <v>415</v>
      </c>
      <c r="D2380" t="s">
        <v>29</v>
      </c>
      <c r="E2380" t="s">
        <v>30</v>
      </c>
      <c r="F2380">
        <v>36</v>
      </c>
      <c r="G2380">
        <v>168</v>
      </c>
      <c r="H2380">
        <v>81</v>
      </c>
      <c r="I2380">
        <v>28.56</v>
      </c>
      <c r="J2380">
        <v>163.19999999999999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 x14ac:dyDescent="0.25">
      <c r="A2381" t="s">
        <v>63</v>
      </c>
      <c r="B2381">
        <v>105</v>
      </c>
      <c r="C2381">
        <v>415</v>
      </c>
      <c r="D2381" t="s">
        <v>29</v>
      </c>
      <c r="E2381" t="s">
        <v>29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8.3000000000000007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 x14ac:dyDescent="0.25">
      <c r="A2382" t="s">
        <v>58</v>
      </c>
      <c r="B2382">
        <v>99</v>
      </c>
      <c r="C2382">
        <v>408</v>
      </c>
      <c r="D2382" t="s">
        <v>29</v>
      </c>
      <c r="E2382" t="s">
        <v>29</v>
      </c>
      <c r="F2382">
        <v>0</v>
      </c>
      <c r="G2382">
        <v>256.39999999999998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 x14ac:dyDescent="0.25">
      <c r="A2383" t="s">
        <v>37</v>
      </c>
      <c r="B2383">
        <v>177</v>
      </c>
      <c r="C2383">
        <v>408</v>
      </c>
      <c r="D2383" t="s">
        <v>29</v>
      </c>
      <c r="E2383" t="s">
        <v>29</v>
      </c>
      <c r="F2383">
        <v>0</v>
      </c>
      <c r="G2383">
        <v>227.8</v>
      </c>
      <c r="H2383">
        <v>81</v>
      </c>
      <c r="I2383">
        <v>38.729999999999997</v>
      </c>
      <c r="J2383">
        <v>161.80000000000001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 x14ac:dyDescent="0.25">
      <c r="A2384" t="s">
        <v>80</v>
      </c>
      <c r="B2384">
        <v>160</v>
      </c>
      <c r="C2384">
        <v>415</v>
      </c>
      <c r="D2384" t="s">
        <v>29</v>
      </c>
      <c r="E2384" t="s">
        <v>29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9.8699999999999992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 x14ac:dyDescent="0.25">
      <c r="A2385" t="s">
        <v>79</v>
      </c>
      <c r="B2385">
        <v>90</v>
      </c>
      <c r="C2385">
        <v>415</v>
      </c>
      <c r="D2385" t="s">
        <v>29</v>
      </c>
      <c r="E2385" t="s">
        <v>30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19.690000000000001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 x14ac:dyDescent="0.25">
      <c r="A2386" t="s">
        <v>74</v>
      </c>
      <c r="B2386">
        <v>148</v>
      </c>
      <c r="C2386">
        <v>415</v>
      </c>
      <c r="D2386" t="s">
        <v>30</v>
      </c>
      <c r="E2386" t="s">
        <v>29</v>
      </c>
      <c r="F2386">
        <v>0</v>
      </c>
      <c r="G2386">
        <v>233.5</v>
      </c>
      <c r="H2386">
        <v>81</v>
      </c>
      <c r="I2386">
        <v>39.700000000000003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 x14ac:dyDescent="0.25">
      <c r="A2387" t="s">
        <v>40</v>
      </c>
      <c r="B2387">
        <v>147</v>
      </c>
      <c r="C2387">
        <v>415</v>
      </c>
      <c r="D2387" t="s">
        <v>29</v>
      </c>
      <c r="E2387" t="s">
        <v>30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9.5399999999999991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 x14ac:dyDescent="0.25">
      <c r="A2388" t="s">
        <v>37</v>
      </c>
      <c r="B2388">
        <v>80</v>
      </c>
      <c r="C2388">
        <v>415</v>
      </c>
      <c r="D2388" t="s">
        <v>29</v>
      </c>
      <c r="E2388" t="s">
        <v>29</v>
      </c>
      <c r="F2388">
        <v>0</v>
      </c>
      <c r="G2388">
        <v>151.5</v>
      </c>
      <c r="H2388">
        <v>89</v>
      </c>
      <c r="I2388">
        <v>25.76</v>
      </c>
      <c r="J2388">
        <v>131.69999999999999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 x14ac:dyDescent="0.25">
      <c r="A2389" t="s">
        <v>56</v>
      </c>
      <c r="B2389">
        <v>122</v>
      </c>
      <c r="C2389">
        <v>415</v>
      </c>
      <c r="D2389" t="s">
        <v>30</v>
      </c>
      <c r="E2389" t="s">
        <v>29</v>
      </c>
      <c r="F2389">
        <v>0</v>
      </c>
      <c r="G2389">
        <v>146.30000000000001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 x14ac:dyDescent="0.25">
      <c r="A2390" t="s">
        <v>40</v>
      </c>
      <c r="B2390">
        <v>132</v>
      </c>
      <c r="C2390">
        <v>408</v>
      </c>
      <c r="D2390" t="s">
        <v>29</v>
      </c>
      <c r="E2390" t="s">
        <v>29</v>
      </c>
      <c r="F2390">
        <v>0</v>
      </c>
      <c r="G2390">
        <v>195.1</v>
      </c>
      <c r="H2390">
        <v>100</v>
      </c>
      <c r="I2390">
        <v>33.17</v>
      </c>
      <c r="J2390">
        <v>148.80000000000001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 x14ac:dyDescent="0.25">
      <c r="A2391" t="s">
        <v>61</v>
      </c>
      <c r="B2391">
        <v>83</v>
      </c>
      <c r="C2391">
        <v>510</v>
      </c>
      <c r="D2391" t="s">
        <v>29</v>
      </c>
      <c r="E2391" t="s">
        <v>29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18.260000000000002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 x14ac:dyDescent="0.25">
      <c r="A2392" t="s">
        <v>78</v>
      </c>
      <c r="B2392">
        <v>99</v>
      </c>
      <c r="C2392">
        <v>408</v>
      </c>
      <c r="D2392" t="s">
        <v>29</v>
      </c>
      <c r="E2392" t="s">
        <v>29</v>
      </c>
      <c r="F2392">
        <v>0</v>
      </c>
      <c r="G2392">
        <v>135.69999999999999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8.8000000000000007</v>
      </c>
      <c r="Q2392">
        <v>3</v>
      </c>
      <c r="R2392">
        <v>2.38</v>
      </c>
      <c r="S2392">
        <v>7</v>
      </c>
      <c r="T2392" t="b">
        <v>1</v>
      </c>
    </row>
    <row r="2393" spans="1:20" x14ac:dyDescent="0.25">
      <c r="A2393" t="s">
        <v>28</v>
      </c>
      <c r="B2393">
        <v>84</v>
      </c>
      <c r="C2393">
        <v>415</v>
      </c>
      <c r="D2393" t="s">
        <v>29</v>
      </c>
      <c r="E2393" t="s">
        <v>29</v>
      </c>
      <c r="F2393">
        <v>0</v>
      </c>
      <c r="G2393">
        <v>225.9</v>
      </c>
      <c r="H2393">
        <v>86</v>
      </c>
      <c r="I2393">
        <v>38.4</v>
      </c>
      <c r="J2393">
        <v>275.60000000000002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 x14ac:dyDescent="0.25">
      <c r="A2394" t="s">
        <v>70</v>
      </c>
      <c r="B2394">
        <v>46</v>
      </c>
      <c r="C2394">
        <v>415</v>
      </c>
      <c r="D2394" t="s">
        <v>29</v>
      </c>
      <c r="E2394" t="s">
        <v>29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9.6999999999999993</v>
      </c>
      <c r="Q2394">
        <v>6</v>
      </c>
      <c r="R2394">
        <v>2.62</v>
      </c>
      <c r="S2394">
        <v>1</v>
      </c>
      <c r="T2394" t="b">
        <v>0</v>
      </c>
    </row>
    <row r="2395" spans="1:20" x14ac:dyDescent="0.25">
      <c r="A2395" t="s">
        <v>31</v>
      </c>
      <c r="B2395">
        <v>87</v>
      </c>
      <c r="C2395">
        <v>510</v>
      </c>
      <c r="D2395" t="s">
        <v>29</v>
      </c>
      <c r="E2395" t="s">
        <v>29</v>
      </c>
      <c r="F2395">
        <v>0</v>
      </c>
      <c r="G2395">
        <v>153.30000000000001</v>
      </c>
      <c r="H2395">
        <v>106</v>
      </c>
      <c r="I2395">
        <v>26.06</v>
      </c>
      <c r="J2395">
        <v>224.5</v>
      </c>
      <c r="K2395">
        <v>117</v>
      </c>
      <c r="L2395">
        <v>19.079999999999998</v>
      </c>
      <c r="M2395">
        <v>273.39999999999998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 x14ac:dyDescent="0.25">
      <c r="A2396" t="s">
        <v>28</v>
      </c>
      <c r="B2396">
        <v>73</v>
      </c>
      <c r="C2396">
        <v>408</v>
      </c>
      <c r="D2396" t="s">
        <v>29</v>
      </c>
      <c r="E2396" t="s">
        <v>29</v>
      </c>
      <c r="F2396">
        <v>0</v>
      </c>
      <c r="G2396">
        <v>194.8</v>
      </c>
      <c r="H2396">
        <v>112</v>
      </c>
      <c r="I2396">
        <v>33.119999999999997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 x14ac:dyDescent="0.25">
      <c r="A2397" t="s">
        <v>60</v>
      </c>
      <c r="B2397">
        <v>7</v>
      </c>
      <c r="C2397">
        <v>415</v>
      </c>
      <c r="D2397" t="s">
        <v>29</v>
      </c>
      <c r="E2397" t="s">
        <v>29</v>
      </c>
      <c r="F2397">
        <v>0</v>
      </c>
      <c r="G2397">
        <v>206.7</v>
      </c>
      <c r="H2397">
        <v>87</v>
      </c>
      <c r="I2397">
        <v>35.14</v>
      </c>
      <c r="J2397">
        <v>281.10000000000002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 x14ac:dyDescent="0.25">
      <c r="A2398" t="s">
        <v>58</v>
      </c>
      <c r="B2398">
        <v>89</v>
      </c>
      <c r="C2398">
        <v>415</v>
      </c>
      <c r="D2398" t="s">
        <v>29</v>
      </c>
      <c r="E2398" t="s">
        <v>30</v>
      </c>
      <c r="F2398">
        <v>12</v>
      </c>
      <c r="G2398">
        <v>188</v>
      </c>
      <c r="H2398">
        <v>105</v>
      </c>
      <c r="I2398">
        <v>31.96</v>
      </c>
      <c r="J2398">
        <v>151.30000000000001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 x14ac:dyDescent="0.25">
      <c r="A2399" t="s">
        <v>70</v>
      </c>
      <c r="B2399">
        <v>131</v>
      </c>
      <c r="C2399">
        <v>408</v>
      </c>
      <c r="D2399" t="s">
        <v>30</v>
      </c>
      <c r="E2399" t="s">
        <v>29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 x14ac:dyDescent="0.25">
      <c r="A2400" t="s">
        <v>43</v>
      </c>
      <c r="B2400">
        <v>105</v>
      </c>
      <c r="C2400">
        <v>415</v>
      </c>
      <c r="D2400" t="s">
        <v>29</v>
      </c>
      <c r="E2400" t="s">
        <v>29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 x14ac:dyDescent="0.25">
      <c r="A2401" t="s">
        <v>41</v>
      </c>
      <c r="B2401">
        <v>47</v>
      </c>
      <c r="C2401">
        <v>415</v>
      </c>
      <c r="D2401" t="s">
        <v>29</v>
      </c>
      <c r="E2401" t="s">
        <v>30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8.3000000000000007</v>
      </c>
      <c r="Q2401">
        <v>6</v>
      </c>
      <c r="R2401">
        <v>2.2400000000000002</v>
      </c>
      <c r="S2401">
        <v>1</v>
      </c>
      <c r="T2401" t="b">
        <v>0</v>
      </c>
    </row>
    <row r="2402" spans="1:20" x14ac:dyDescent="0.25">
      <c r="A2402" t="s">
        <v>58</v>
      </c>
      <c r="B2402">
        <v>161</v>
      </c>
      <c r="C2402">
        <v>408</v>
      </c>
      <c r="D2402" t="s">
        <v>29</v>
      </c>
      <c r="E2402" t="s">
        <v>29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 x14ac:dyDescent="0.25">
      <c r="A2403" t="s">
        <v>47</v>
      </c>
      <c r="B2403">
        <v>69</v>
      </c>
      <c r="C2403">
        <v>415</v>
      </c>
      <c r="D2403" t="s">
        <v>29</v>
      </c>
      <c r="E2403" t="s">
        <v>30</v>
      </c>
      <c r="F2403">
        <v>31</v>
      </c>
      <c r="G2403">
        <v>194.9</v>
      </c>
      <c r="H2403">
        <v>63</v>
      </c>
      <c r="I2403">
        <v>33.130000000000003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 x14ac:dyDescent="0.25">
      <c r="A2404" t="s">
        <v>77</v>
      </c>
      <c r="B2404">
        <v>87</v>
      </c>
      <c r="C2404">
        <v>408</v>
      </c>
      <c r="D2404" t="s">
        <v>29</v>
      </c>
      <c r="E2404" t="s">
        <v>30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154.80000000000001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 x14ac:dyDescent="0.25">
      <c r="A2405" t="s">
        <v>46</v>
      </c>
      <c r="B2405">
        <v>71</v>
      </c>
      <c r="C2405">
        <v>415</v>
      </c>
      <c r="D2405" t="s">
        <v>29</v>
      </c>
      <c r="E2405" t="s">
        <v>29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 x14ac:dyDescent="0.25">
      <c r="A2406" t="s">
        <v>71</v>
      </c>
      <c r="B2406">
        <v>76</v>
      </c>
      <c r="C2406">
        <v>415</v>
      </c>
      <c r="D2406" t="s">
        <v>29</v>
      </c>
      <c r="E2406" t="s">
        <v>29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 x14ac:dyDescent="0.25">
      <c r="A2407" t="s">
        <v>32</v>
      </c>
      <c r="B2407">
        <v>87</v>
      </c>
      <c r="C2407">
        <v>510</v>
      </c>
      <c r="D2407" t="s">
        <v>29</v>
      </c>
      <c r="E2407" t="s">
        <v>29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 x14ac:dyDescent="0.25">
      <c r="A2408" t="s">
        <v>50</v>
      </c>
      <c r="B2408">
        <v>117</v>
      </c>
      <c r="C2408">
        <v>408</v>
      </c>
      <c r="D2408" t="s">
        <v>29</v>
      </c>
      <c r="E2408" t="s">
        <v>29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 x14ac:dyDescent="0.25">
      <c r="A2409" t="s">
        <v>65</v>
      </c>
      <c r="B2409">
        <v>177</v>
      </c>
      <c r="C2409">
        <v>415</v>
      </c>
      <c r="D2409" t="s">
        <v>29</v>
      </c>
      <c r="E2409" t="s">
        <v>29</v>
      </c>
      <c r="F2409">
        <v>0</v>
      </c>
      <c r="G2409">
        <v>266.10000000000002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 x14ac:dyDescent="0.25">
      <c r="A2410" t="s">
        <v>37</v>
      </c>
      <c r="B2410">
        <v>95</v>
      </c>
      <c r="C2410">
        <v>415</v>
      </c>
      <c r="D2410" t="s">
        <v>29</v>
      </c>
      <c r="E2410" t="s">
        <v>29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 x14ac:dyDescent="0.25">
      <c r="A2411" t="s">
        <v>31</v>
      </c>
      <c r="B2411">
        <v>66</v>
      </c>
      <c r="C2411">
        <v>415</v>
      </c>
      <c r="D2411" t="s">
        <v>29</v>
      </c>
      <c r="E2411" t="s">
        <v>29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8.8800000000000008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 x14ac:dyDescent="0.25">
      <c r="A2412" t="s">
        <v>36</v>
      </c>
      <c r="B2412">
        <v>110</v>
      </c>
      <c r="C2412">
        <v>415</v>
      </c>
      <c r="D2412" t="s">
        <v>29</v>
      </c>
      <c r="E2412" t="s">
        <v>29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 x14ac:dyDescent="0.25">
      <c r="A2413" t="s">
        <v>43</v>
      </c>
      <c r="B2413">
        <v>133</v>
      </c>
      <c r="C2413">
        <v>408</v>
      </c>
      <c r="D2413" t="s">
        <v>29</v>
      </c>
      <c r="E2413" t="s">
        <v>30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128.69999999999999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 x14ac:dyDescent="0.25">
      <c r="A2414" t="s">
        <v>45</v>
      </c>
      <c r="B2414">
        <v>185</v>
      </c>
      <c r="C2414">
        <v>408</v>
      </c>
      <c r="D2414" t="s">
        <v>29</v>
      </c>
      <c r="E2414" t="s">
        <v>29</v>
      </c>
      <c r="F2414">
        <v>0</v>
      </c>
      <c r="G2414">
        <v>55.6</v>
      </c>
      <c r="H2414">
        <v>97</v>
      </c>
      <c r="I2414">
        <v>9.4499999999999993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 x14ac:dyDescent="0.25">
      <c r="A2415" t="s">
        <v>70</v>
      </c>
      <c r="B2415">
        <v>91</v>
      </c>
      <c r="C2415">
        <v>510</v>
      </c>
      <c r="D2415" t="s">
        <v>29</v>
      </c>
      <c r="E2415" t="s">
        <v>29</v>
      </c>
      <c r="F2415">
        <v>0</v>
      </c>
      <c r="G2415">
        <v>109.8</v>
      </c>
      <c r="H2415">
        <v>100</v>
      </c>
      <c r="I2415">
        <v>18.670000000000002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9.3000000000000007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 x14ac:dyDescent="0.25">
      <c r="A2416" t="s">
        <v>37</v>
      </c>
      <c r="B2416">
        <v>131</v>
      </c>
      <c r="C2416">
        <v>415</v>
      </c>
      <c r="D2416" t="s">
        <v>29</v>
      </c>
      <c r="E2416" t="s">
        <v>29</v>
      </c>
      <c r="F2416">
        <v>0</v>
      </c>
      <c r="G2416">
        <v>196.1</v>
      </c>
      <c r="H2416">
        <v>89</v>
      </c>
      <c r="I2416">
        <v>33.340000000000003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 x14ac:dyDescent="0.25">
      <c r="A2417" t="s">
        <v>52</v>
      </c>
      <c r="B2417">
        <v>153</v>
      </c>
      <c r="C2417">
        <v>510</v>
      </c>
      <c r="D2417" t="s">
        <v>29</v>
      </c>
      <c r="E2417" t="s">
        <v>29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 x14ac:dyDescent="0.25">
      <c r="A2418" t="s">
        <v>35</v>
      </c>
      <c r="B2418">
        <v>132</v>
      </c>
      <c r="C2418">
        <v>415</v>
      </c>
      <c r="D2418" t="s">
        <v>29</v>
      </c>
      <c r="E2418" t="s">
        <v>30</v>
      </c>
      <c r="F2418">
        <v>25</v>
      </c>
      <c r="G2418">
        <v>113.2</v>
      </c>
      <c r="H2418">
        <v>96</v>
      </c>
      <c r="I2418">
        <v>19.239999999999998</v>
      </c>
      <c r="J2418">
        <v>269.89999999999998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 x14ac:dyDescent="0.25">
      <c r="A2419" t="s">
        <v>34</v>
      </c>
      <c r="B2419">
        <v>141</v>
      </c>
      <c r="C2419">
        <v>408</v>
      </c>
      <c r="D2419" t="s">
        <v>29</v>
      </c>
      <c r="E2419" t="s">
        <v>29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19.899999999999999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 x14ac:dyDescent="0.25">
      <c r="A2420" t="s">
        <v>72</v>
      </c>
      <c r="B2420">
        <v>105</v>
      </c>
      <c r="C2420">
        <v>415</v>
      </c>
      <c r="D2420" t="s">
        <v>29</v>
      </c>
      <c r="E2420" t="s">
        <v>29</v>
      </c>
      <c r="F2420">
        <v>0</v>
      </c>
      <c r="G2420">
        <v>156.5</v>
      </c>
      <c r="H2420">
        <v>102</v>
      </c>
      <c r="I2420">
        <v>26.61</v>
      </c>
      <c r="J2420">
        <v>140.19999999999999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 x14ac:dyDescent="0.25">
      <c r="A2421" t="s">
        <v>44</v>
      </c>
      <c r="B2421">
        <v>169</v>
      </c>
      <c r="C2421">
        <v>408</v>
      </c>
      <c r="D2421" t="s">
        <v>29</v>
      </c>
      <c r="E2421" t="s">
        <v>29</v>
      </c>
      <c r="F2421">
        <v>0</v>
      </c>
      <c r="G2421">
        <v>266.7</v>
      </c>
      <c r="H2421">
        <v>105</v>
      </c>
      <c r="I2421">
        <v>45.34</v>
      </c>
      <c r="J2421">
        <v>158.19999999999999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 x14ac:dyDescent="0.25">
      <c r="A2422" t="s">
        <v>79</v>
      </c>
      <c r="B2422">
        <v>127</v>
      </c>
      <c r="C2422">
        <v>415</v>
      </c>
      <c r="D2422" t="s">
        <v>29</v>
      </c>
      <c r="E2422" t="s">
        <v>30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9.8000000000000007</v>
      </c>
      <c r="Q2422">
        <v>4</v>
      </c>
      <c r="R2422">
        <v>2.65</v>
      </c>
      <c r="S2422">
        <v>1</v>
      </c>
      <c r="T2422" t="b">
        <v>0</v>
      </c>
    </row>
    <row r="2423" spans="1:20" x14ac:dyDescent="0.25">
      <c r="A2423" t="s">
        <v>52</v>
      </c>
      <c r="B2423">
        <v>123</v>
      </c>
      <c r="C2423">
        <v>415</v>
      </c>
      <c r="D2423" t="s">
        <v>29</v>
      </c>
      <c r="E2423" t="s">
        <v>30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 x14ac:dyDescent="0.25">
      <c r="A2424" t="s">
        <v>40</v>
      </c>
      <c r="B2424">
        <v>103</v>
      </c>
      <c r="C2424">
        <v>510</v>
      </c>
      <c r="D2424" t="s">
        <v>29</v>
      </c>
      <c r="E2424" t="s">
        <v>30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 x14ac:dyDescent="0.25">
      <c r="A2425" t="s">
        <v>58</v>
      </c>
      <c r="B2425">
        <v>101</v>
      </c>
      <c r="C2425">
        <v>415</v>
      </c>
      <c r="D2425" t="s">
        <v>29</v>
      </c>
      <c r="E2425" t="s">
        <v>29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 x14ac:dyDescent="0.25">
      <c r="A2426" t="s">
        <v>51</v>
      </c>
      <c r="B2426">
        <v>123</v>
      </c>
      <c r="C2426">
        <v>415</v>
      </c>
      <c r="D2426" t="s">
        <v>29</v>
      </c>
      <c r="E2426" t="s">
        <v>30</v>
      </c>
      <c r="F2426">
        <v>22</v>
      </c>
      <c r="G2426">
        <v>197.6</v>
      </c>
      <c r="H2426">
        <v>105</v>
      </c>
      <c r="I2426">
        <v>33.590000000000003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 x14ac:dyDescent="0.25">
      <c r="A2427" t="s">
        <v>48</v>
      </c>
      <c r="B2427">
        <v>78</v>
      </c>
      <c r="C2427">
        <v>510</v>
      </c>
      <c r="D2427" t="s">
        <v>29</v>
      </c>
      <c r="E2427" t="s">
        <v>30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 x14ac:dyDescent="0.25">
      <c r="A2428" t="s">
        <v>37</v>
      </c>
      <c r="B2428">
        <v>101</v>
      </c>
      <c r="C2428">
        <v>415</v>
      </c>
      <c r="D2428" t="s">
        <v>29</v>
      </c>
      <c r="E2428" t="s">
        <v>30</v>
      </c>
      <c r="F2428">
        <v>28</v>
      </c>
      <c r="G2428">
        <v>220.3</v>
      </c>
      <c r="H2428">
        <v>96</v>
      </c>
      <c r="I2428">
        <v>37.450000000000003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 x14ac:dyDescent="0.25">
      <c r="A2429" t="s">
        <v>68</v>
      </c>
      <c r="B2429">
        <v>129</v>
      </c>
      <c r="C2429">
        <v>415</v>
      </c>
      <c r="D2429" t="s">
        <v>29</v>
      </c>
      <c r="E2429" t="s">
        <v>29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 x14ac:dyDescent="0.25">
      <c r="A2430" t="s">
        <v>35</v>
      </c>
      <c r="B2430">
        <v>67</v>
      </c>
      <c r="C2430">
        <v>415</v>
      </c>
      <c r="D2430" t="s">
        <v>29</v>
      </c>
      <c r="E2430" t="s">
        <v>30</v>
      </c>
      <c r="F2430">
        <v>34</v>
      </c>
      <c r="G2430">
        <v>161.69999999999999</v>
      </c>
      <c r="H2430">
        <v>114</v>
      </c>
      <c r="I2430">
        <v>27.49</v>
      </c>
      <c r="J2430">
        <v>207.6</v>
      </c>
      <c r="K2430">
        <v>115</v>
      </c>
      <c r="L2430">
        <v>17.649999999999999</v>
      </c>
      <c r="M2430">
        <v>205.7</v>
      </c>
      <c r="N2430">
        <v>114</v>
      </c>
      <c r="O2430">
        <v>9.26</v>
      </c>
      <c r="P2430">
        <v>9.1999999999999993</v>
      </c>
      <c r="Q2430">
        <v>4</v>
      </c>
      <c r="R2430">
        <v>2.48</v>
      </c>
      <c r="S2430">
        <v>0</v>
      </c>
      <c r="T2430" t="b">
        <v>0</v>
      </c>
    </row>
    <row r="2431" spans="1:20" x14ac:dyDescent="0.25">
      <c r="A2431" t="s">
        <v>74</v>
      </c>
      <c r="B2431">
        <v>37</v>
      </c>
      <c r="C2431">
        <v>415</v>
      </c>
      <c r="D2431" t="s">
        <v>29</v>
      </c>
      <c r="E2431" t="s">
        <v>29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 x14ac:dyDescent="0.25">
      <c r="A2432" t="s">
        <v>37</v>
      </c>
      <c r="B2432">
        <v>173</v>
      </c>
      <c r="C2432">
        <v>510</v>
      </c>
      <c r="D2432" t="s">
        <v>29</v>
      </c>
      <c r="E2432" t="s">
        <v>29</v>
      </c>
      <c r="F2432">
        <v>0</v>
      </c>
      <c r="G2432">
        <v>109.4</v>
      </c>
      <c r="H2432">
        <v>103</v>
      </c>
      <c r="I2432">
        <v>18.600000000000001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 x14ac:dyDescent="0.25">
      <c r="A2433" t="s">
        <v>71</v>
      </c>
      <c r="B2433">
        <v>135</v>
      </c>
      <c r="C2433">
        <v>510</v>
      </c>
      <c r="D2433" t="s">
        <v>29</v>
      </c>
      <c r="E2433" t="s">
        <v>29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 x14ac:dyDescent="0.25">
      <c r="A2434" t="s">
        <v>32</v>
      </c>
      <c r="B2434">
        <v>75</v>
      </c>
      <c r="C2434">
        <v>415</v>
      </c>
      <c r="D2434" t="s">
        <v>29</v>
      </c>
      <c r="E2434" t="s">
        <v>30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 x14ac:dyDescent="0.25">
      <c r="A2435" t="s">
        <v>72</v>
      </c>
      <c r="B2435">
        <v>88</v>
      </c>
      <c r="C2435">
        <v>415</v>
      </c>
      <c r="D2435" t="s">
        <v>29</v>
      </c>
      <c r="E2435" t="s">
        <v>29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 x14ac:dyDescent="0.25">
      <c r="A2436" t="s">
        <v>44</v>
      </c>
      <c r="B2436">
        <v>112</v>
      </c>
      <c r="C2436">
        <v>415</v>
      </c>
      <c r="D2436" t="s">
        <v>29</v>
      </c>
      <c r="E2436" t="s">
        <v>29</v>
      </c>
      <c r="F2436">
        <v>0</v>
      </c>
      <c r="G2436">
        <v>214.8</v>
      </c>
      <c r="H2436">
        <v>112</v>
      </c>
      <c r="I2436">
        <v>36.520000000000003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 x14ac:dyDescent="0.25">
      <c r="A2437" t="s">
        <v>66</v>
      </c>
      <c r="B2437">
        <v>113</v>
      </c>
      <c r="C2437">
        <v>408</v>
      </c>
      <c r="D2437" t="s">
        <v>29</v>
      </c>
      <c r="E2437" t="s">
        <v>29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 x14ac:dyDescent="0.25">
      <c r="A2438" t="s">
        <v>43</v>
      </c>
      <c r="B2438">
        <v>121</v>
      </c>
      <c r="C2438">
        <v>510</v>
      </c>
      <c r="D2438" t="s">
        <v>29</v>
      </c>
      <c r="E2438" t="s">
        <v>30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 x14ac:dyDescent="0.25">
      <c r="A2439" t="s">
        <v>55</v>
      </c>
      <c r="B2439">
        <v>90</v>
      </c>
      <c r="C2439">
        <v>415</v>
      </c>
      <c r="D2439" t="s">
        <v>29</v>
      </c>
      <c r="E2439" t="s">
        <v>29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 x14ac:dyDescent="0.25">
      <c r="A2440" t="s">
        <v>38</v>
      </c>
      <c r="B2440">
        <v>39</v>
      </c>
      <c r="C2440">
        <v>408</v>
      </c>
      <c r="D2440" t="s">
        <v>29</v>
      </c>
      <c r="E2440" t="s">
        <v>29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9.2799999999999994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 x14ac:dyDescent="0.25">
      <c r="A2441" t="s">
        <v>55</v>
      </c>
      <c r="B2441">
        <v>176</v>
      </c>
      <c r="C2441">
        <v>408</v>
      </c>
      <c r="D2441" t="s">
        <v>29</v>
      </c>
      <c r="E2441" t="s">
        <v>29</v>
      </c>
      <c r="F2441">
        <v>0</v>
      </c>
      <c r="G2441">
        <v>201.9</v>
      </c>
      <c r="H2441">
        <v>101</v>
      </c>
      <c r="I2441">
        <v>34.32</v>
      </c>
      <c r="J2441">
        <v>154.69999999999999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2.4300000000000002</v>
      </c>
      <c r="S2441">
        <v>1</v>
      </c>
      <c r="T2441" t="b">
        <v>0</v>
      </c>
    </row>
    <row r="2442" spans="1:20" x14ac:dyDescent="0.25">
      <c r="A2442" t="s">
        <v>67</v>
      </c>
      <c r="B2442">
        <v>105</v>
      </c>
      <c r="C2442">
        <v>408</v>
      </c>
      <c r="D2442" t="s">
        <v>29</v>
      </c>
      <c r="E2442" t="s">
        <v>29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2.2999999999999998</v>
      </c>
      <c r="S2442">
        <v>1</v>
      </c>
      <c r="T2442" t="b">
        <v>0</v>
      </c>
    </row>
    <row r="2443" spans="1:20" x14ac:dyDescent="0.25">
      <c r="A2443" t="s">
        <v>66</v>
      </c>
      <c r="B2443">
        <v>57</v>
      </c>
      <c r="C2443">
        <v>415</v>
      </c>
      <c r="D2443" t="s">
        <v>29</v>
      </c>
      <c r="E2443" t="s">
        <v>29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 x14ac:dyDescent="0.25">
      <c r="A2444" t="s">
        <v>74</v>
      </c>
      <c r="B2444">
        <v>110</v>
      </c>
      <c r="C2444">
        <v>510</v>
      </c>
      <c r="D2444" t="s">
        <v>29</v>
      </c>
      <c r="E2444" t="s">
        <v>29</v>
      </c>
      <c r="F2444">
        <v>0</v>
      </c>
      <c r="G2444">
        <v>18.899999999999999</v>
      </c>
      <c r="H2444">
        <v>92</v>
      </c>
      <c r="I2444">
        <v>3.21</v>
      </c>
      <c r="J2444">
        <v>258.39999999999998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 x14ac:dyDescent="0.25">
      <c r="A2445" t="s">
        <v>34</v>
      </c>
      <c r="B2445">
        <v>95</v>
      </c>
      <c r="C2445">
        <v>408</v>
      </c>
      <c r="D2445" t="s">
        <v>29</v>
      </c>
      <c r="E2445" t="s">
        <v>29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 x14ac:dyDescent="0.25">
      <c r="A2446" t="s">
        <v>74</v>
      </c>
      <c r="B2446">
        <v>147</v>
      </c>
      <c r="C2446">
        <v>415</v>
      </c>
      <c r="D2446" t="s">
        <v>29</v>
      </c>
      <c r="E2446" t="s">
        <v>29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17.690000000000001</v>
      </c>
      <c r="M2446">
        <v>204.6</v>
      </c>
      <c r="N2446">
        <v>72</v>
      </c>
      <c r="O2446">
        <v>9.2100000000000009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 x14ac:dyDescent="0.25">
      <c r="A2447" t="s">
        <v>75</v>
      </c>
      <c r="B2447">
        <v>101</v>
      </c>
      <c r="C2447">
        <v>415</v>
      </c>
      <c r="D2447" t="s">
        <v>29</v>
      </c>
      <c r="E2447" t="s">
        <v>29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 x14ac:dyDescent="0.25">
      <c r="A2448" t="s">
        <v>73</v>
      </c>
      <c r="B2448">
        <v>115</v>
      </c>
      <c r="C2448">
        <v>415</v>
      </c>
      <c r="D2448" t="s">
        <v>29</v>
      </c>
      <c r="E2448" t="s">
        <v>29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20.079999999999998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 x14ac:dyDescent="0.25">
      <c r="A2449" t="s">
        <v>73</v>
      </c>
      <c r="B2449">
        <v>103</v>
      </c>
      <c r="C2449">
        <v>415</v>
      </c>
      <c r="D2449" t="s">
        <v>29</v>
      </c>
      <c r="E2449" t="s">
        <v>29</v>
      </c>
      <c r="F2449">
        <v>0</v>
      </c>
      <c r="G2449">
        <v>129.30000000000001</v>
      </c>
      <c r="H2449">
        <v>103</v>
      </c>
      <c r="I2449">
        <v>21.98</v>
      </c>
      <c r="J2449">
        <v>202.8</v>
      </c>
      <c r="K2449">
        <v>89</v>
      </c>
      <c r="L2449">
        <v>17.239999999999998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 x14ac:dyDescent="0.25">
      <c r="A2450" t="s">
        <v>62</v>
      </c>
      <c r="B2450">
        <v>82</v>
      </c>
      <c r="C2450">
        <v>415</v>
      </c>
      <c r="D2450" t="s">
        <v>29</v>
      </c>
      <c r="E2450" t="s">
        <v>29</v>
      </c>
      <c r="F2450">
        <v>0</v>
      </c>
      <c r="G2450">
        <v>199.3</v>
      </c>
      <c r="H2450">
        <v>112</v>
      </c>
      <c r="I2450">
        <v>33.880000000000003</v>
      </c>
      <c r="J2450">
        <v>193.4</v>
      </c>
      <c r="K2450">
        <v>120</v>
      </c>
      <c r="L2450">
        <v>16.440000000000001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 x14ac:dyDescent="0.25">
      <c r="A2451" t="s">
        <v>55</v>
      </c>
      <c r="B2451">
        <v>141</v>
      </c>
      <c r="C2451">
        <v>415</v>
      </c>
      <c r="D2451" t="s">
        <v>29</v>
      </c>
      <c r="E2451" t="s">
        <v>29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19.809999999999999</v>
      </c>
      <c r="M2451">
        <v>152.19999999999999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 x14ac:dyDescent="0.25">
      <c r="A2452" t="s">
        <v>79</v>
      </c>
      <c r="B2452">
        <v>149</v>
      </c>
      <c r="C2452">
        <v>408</v>
      </c>
      <c r="D2452" t="s">
        <v>29</v>
      </c>
      <c r="E2452" t="s">
        <v>29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8.4700000000000006</v>
      </c>
      <c r="P2452">
        <v>9.6999999999999993</v>
      </c>
      <c r="Q2452">
        <v>2</v>
      </c>
      <c r="R2452">
        <v>2.62</v>
      </c>
      <c r="S2452">
        <v>2</v>
      </c>
      <c r="T2452" t="b">
        <v>0</v>
      </c>
    </row>
    <row r="2453" spans="1:20" x14ac:dyDescent="0.25">
      <c r="A2453" t="s">
        <v>63</v>
      </c>
      <c r="B2453">
        <v>119</v>
      </c>
      <c r="C2453">
        <v>510</v>
      </c>
      <c r="D2453" t="s">
        <v>29</v>
      </c>
      <c r="E2453" t="s">
        <v>29</v>
      </c>
      <c r="F2453">
        <v>0</v>
      </c>
      <c r="G2453">
        <v>94.2</v>
      </c>
      <c r="H2453">
        <v>108</v>
      </c>
      <c r="I2453">
        <v>16.010000000000002</v>
      </c>
      <c r="J2453">
        <v>264.10000000000002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 x14ac:dyDescent="0.25">
      <c r="A2454" t="s">
        <v>34</v>
      </c>
      <c r="B2454">
        <v>112</v>
      </c>
      <c r="C2454">
        <v>510</v>
      </c>
      <c r="D2454" t="s">
        <v>29</v>
      </c>
      <c r="E2454" t="s">
        <v>29</v>
      </c>
      <c r="F2454">
        <v>0</v>
      </c>
      <c r="G2454">
        <v>189.4</v>
      </c>
      <c r="H2454">
        <v>83</v>
      </c>
      <c r="I2454">
        <v>32.200000000000003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 x14ac:dyDescent="0.25">
      <c r="A2455" t="s">
        <v>68</v>
      </c>
      <c r="B2455">
        <v>116</v>
      </c>
      <c r="C2455">
        <v>510</v>
      </c>
      <c r="D2455" t="s">
        <v>29</v>
      </c>
      <c r="E2455" t="s">
        <v>30</v>
      </c>
      <c r="F2455">
        <v>35</v>
      </c>
      <c r="G2455">
        <v>118</v>
      </c>
      <c r="H2455">
        <v>103</v>
      </c>
      <c r="I2455">
        <v>20.059999999999999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 x14ac:dyDescent="0.25">
      <c r="A2456" t="s">
        <v>52</v>
      </c>
      <c r="B2456">
        <v>94</v>
      </c>
      <c r="C2456">
        <v>415</v>
      </c>
      <c r="D2456" t="s">
        <v>29</v>
      </c>
      <c r="E2456" t="s">
        <v>29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16.100000000000001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 x14ac:dyDescent="0.25">
      <c r="A2457" t="s">
        <v>43</v>
      </c>
      <c r="B2457">
        <v>90</v>
      </c>
      <c r="C2457">
        <v>408</v>
      </c>
      <c r="D2457" t="s">
        <v>29</v>
      </c>
      <c r="E2457" t="s">
        <v>29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 x14ac:dyDescent="0.25">
      <c r="A2458" t="s">
        <v>59</v>
      </c>
      <c r="B2458">
        <v>114</v>
      </c>
      <c r="C2458">
        <v>415</v>
      </c>
      <c r="D2458" t="s">
        <v>29</v>
      </c>
      <c r="E2458" t="s">
        <v>30</v>
      </c>
      <c r="F2458">
        <v>31</v>
      </c>
      <c r="G2458">
        <v>222.8</v>
      </c>
      <c r="H2458">
        <v>98</v>
      </c>
      <c r="I2458">
        <v>37.880000000000003</v>
      </c>
      <c r="J2458">
        <v>180.5</v>
      </c>
      <c r="K2458">
        <v>105</v>
      </c>
      <c r="L2458">
        <v>15.34</v>
      </c>
      <c r="M2458">
        <v>151.30000000000001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 x14ac:dyDescent="0.25">
      <c r="A2459" t="s">
        <v>80</v>
      </c>
      <c r="B2459">
        <v>63</v>
      </c>
      <c r="C2459">
        <v>408</v>
      </c>
      <c r="D2459" t="s">
        <v>29</v>
      </c>
      <c r="E2459" t="s">
        <v>30</v>
      </c>
      <c r="F2459">
        <v>25</v>
      </c>
      <c r="G2459">
        <v>190</v>
      </c>
      <c r="H2459">
        <v>137</v>
      </c>
      <c r="I2459">
        <v>32.299999999999997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 x14ac:dyDescent="0.25">
      <c r="A2460" t="s">
        <v>35</v>
      </c>
      <c r="B2460">
        <v>122</v>
      </c>
      <c r="C2460">
        <v>408</v>
      </c>
      <c r="D2460" t="s">
        <v>29</v>
      </c>
      <c r="E2460" t="s">
        <v>30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 x14ac:dyDescent="0.25">
      <c r="A2461" t="s">
        <v>65</v>
      </c>
      <c r="B2461">
        <v>62</v>
      </c>
      <c r="C2461">
        <v>415</v>
      </c>
      <c r="D2461" t="s">
        <v>29</v>
      </c>
      <c r="E2461" t="s">
        <v>29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 x14ac:dyDescent="0.25">
      <c r="A2462" t="s">
        <v>75</v>
      </c>
      <c r="B2462">
        <v>78</v>
      </c>
      <c r="C2462">
        <v>415</v>
      </c>
      <c r="D2462" t="s">
        <v>29</v>
      </c>
      <c r="E2462" t="s">
        <v>30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 x14ac:dyDescent="0.25">
      <c r="A2463" t="s">
        <v>60</v>
      </c>
      <c r="B2463">
        <v>148</v>
      </c>
      <c r="C2463">
        <v>415</v>
      </c>
      <c r="D2463" t="s">
        <v>29</v>
      </c>
      <c r="E2463" t="s">
        <v>30</v>
      </c>
      <c r="F2463">
        <v>26</v>
      </c>
      <c r="G2463">
        <v>158.69999999999999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 x14ac:dyDescent="0.25">
      <c r="A2464" t="s">
        <v>55</v>
      </c>
      <c r="B2464">
        <v>154</v>
      </c>
      <c r="C2464">
        <v>510</v>
      </c>
      <c r="D2464" t="s">
        <v>29</v>
      </c>
      <c r="E2464" t="s">
        <v>29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 x14ac:dyDescent="0.25">
      <c r="A2465" t="s">
        <v>68</v>
      </c>
      <c r="B2465">
        <v>110</v>
      </c>
      <c r="C2465">
        <v>408</v>
      </c>
      <c r="D2465" t="s">
        <v>29</v>
      </c>
      <c r="E2465" t="s">
        <v>30</v>
      </c>
      <c r="F2465">
        <v>34</v>
      </c>
      <c r="G2465">
        <v>192.3</v>
      </c>
      <c r="H2465">
        <v>114</v>
      </c>
      <c r="I2465">
        <v>32.69</v>
      </c>
      <c r="J2465">
        <v>129.30000000000001</v>
      </c>
      <c r="K2465">
        <v>114</v>
      </c>
      <c r="L2465">
        <v>10.99</v>
      </c>
      <c r="M2465">
        <v>136.30000000000001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 x14ac:dyDescent="0.25">
      <c r="A2466" t="s">
        <v>44</v>
      </c>
      <c r="B2466">
        <v>75</v>
      </c>
      <c r="C2466">
        <v>415</v>
      </c>
      <c r="D2466" t="s">
        <v>29</v>
      </c>
      <c r="E2466" t="s">
        <v>29</v>
      </c>
      <c r="F2466">
        <v>0</v>
      </c>
      <c r="G2466">
        <v>305.10000000000002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2.2999999999999998</v>
      </c>
      <c r="S2466">
        <v>0</v>
      </c>
      <c r="T2466" t="b">
        <v>1</v>
      </c>
    </row>
    <row r="2467" spans="1:20" x14ac:dyDescent="0.25">
      <c r="A2467" t="s">
        <v>79</v>
      </c>
      <c r="B2467">
        <v>84</v>
      </c>
      <c r="C2467">
        <v>408</v>
      </c>
      <c r="D2467" t="s">
        <v>29</v>
      </c>
      <c r="E2467" t="s">
        <v>30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260.39999999999998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 x14ac:dyDescent="0.25">
      <c r="A2468" t="s">
        <v>37</v>
      </c>
      <c r="B2468">
        <v>113</v>
      </c>
      <c r="C2468">
        <v>510</v>
      </c>
      <c r="D2468" t="s">
        <v>29</v>
      </c>
      <c r="E2468" t="s">
        <v>29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 x14ac:dyDescent="0.25">
      <c r="A2469" t="s">
        <v>46</v>
      </c>
      <c r="B2469">
        <v>181</v>
      </c>
      <c r="C2469">
        <v>510</v>
      </c>
      <c r="D2469" t="s">
        <v>29</v>
      </c>
      <c r="E2469" t="s">
        <v>30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 x14ac:dyDescent="0.25">
      <c r="A2470" t="s">
        <v>44</v>
      </c>
      <c r="B2470">
        <v>51</v>
      </c>
      <c r="C2470">
        <v>415</v>
      </c>
      <c r="D2470" t="s">
        <v>29</v>
      </c>
      <c r="E2470" t="s">
        <v>29</v>
      </c>
      <c r="F2470">
        <v>0</v>
      </c>
      <c r="G2470">
        <v>180.5</v>
      </c>
      <c r="H2470">
        <v>88</v>
      </c>
      <c r="I2470">
        <v>30.69</v>
      </c>
      <c r="J2470">
        <v>134.69999999999999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 x14ac:dyDescent="0.25">
      <c r="A2471" t="s">
        <v>45</v>
      </c>
      <c r="B2471">
        <v>102</v>
      </c>
      <c r="C2471">
        <v>408</v>
      </c>
      <c r="D2471" t="s">
        <v>29</v>
      </c>
      <c r="E2471" t="s">
        <v>30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 x14ac:dyDescent="0.25">
      <c r="A2472" t="s">
        <v>34</v>
      </c>
      <c r="B2472">
        <v>107</v>
      </c>
      <c r="C2472">
        <v>408</v>
      </c>
      <c r="D2472" t="s">
        <v>29</v>
      </c>
      <c r="E2472" t="s">
        <v>29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 x14ac:dyDescent="0.25">
      <c r="A2473" t="s">
        <v>37</v>
      </c>
      <c r="B2473">
        <v>88</v>
      </c>
      <c r="C2473">
        <v>510</v>
      </c>
      <c r="D2473" t="s">
        <v>29</v>
      </c>
      <c r="E2473" t="s">
        <v>29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8.2899999999999991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 x14ac:dyDescent="0.25">
      <c r="A2474" t="s">
        <v>74</v>
      </c>
      <c r="B2474">
        <v>82</v>
      </c>
      <c r="C2474">
        <v>415</v>
      </c>
      <c r="D2474" t="s">
        <v>29</v>
      </c>
      <c r="E2474" t="s">
        <v>29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20.149999999999999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4.7300000000000004</v>
      </c>
      <c r="S2474">
        <v>0</v>
      </c>
      <c r="T2474" t="b">
        <v>0</v>
      </c>
    </row>
    <row r="2475" spans="1:20" x14ac:dyDescent="0.25">
      <c r="A2475" t="s">
        <v>70</v>
      </c>
      <c r="B2475">
        <v>204</v>
      </c>
      <c r="C2475">
        <v>415</v>
      </c>
      <c r="D2475" t="s">
        <v>29</v>
      </c>
      <c r="E2475" t="s">
        <v>29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 x14ac:dyDescent="0.25">
      <c r="A2476" t="s">
        <v>36</v>
      </c>
      <c r="B2476">
        <v>174</v>
      </c>
      <c r="C2476">
        <v>510</v>
      </c>
      <c r="D2476" t="s">
        <v>29</v>
      </c>
      <c r="E2476" t="s">
        <v>29</v>
      </c>
      <c r="F2476">
        <v>0</v>
      </c>
      <c r="G2476">
        <v>235.5</v>
      </c>
      <c r="H2476">
        <v>108</v>
      </c>
      <c r="I2476">
        <v>40.04</v>
      </c>
      <c r="J2476">
        <v>142.30000000000001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 x14ac:dyDescent="0.25">
      <c r="A2477" t="s">
        <v>56</v>
      </c>
      <c r="B2477">
        <v>129</v>
      </c>
      <c r="C2477">
        <v>415</v>
      </c>
      <c r="D2477" t="s">
        <v>29</v>
      </c>
      <c r="E2477" t="s">
        <v>29</v>
      </c>
      <c r="F2477">
        <v>0</v>
      </c>
      <c r="G2477">
        <v>157</v>
      </c>
      <c r="H2477">
        <v>113</v>
      </c>
      <c r="I2477">
        <v>26.69</v>
      </c>
      <c r="J2477">
        <v>256.89999999999998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 x14ac:dyDescent="0.25">
      <c r="A2478" t="s">
        <v>73</v>
      </c>
      <c r="B2478">
        <v>190</v>
      </c>
      <c r="C2478">
        <v>415</v>
      </c>
      <c r="D2478" t="s">
        <v>30</v>
      </c>
      <c r="E2478" t="s">
        <v>29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 x14ac:dyDescent="0.25">
      <c r="A2479" t="s">
        <v>70</v>
      </c>
      <c r="B2479">
        <v>54</v>
      </c>
      <c r="C2479">
        <v>510</v>
      </c>
      <c r="D2479" t="s">
        <v>30</v>
      </c>
      <c r="E2479" t="s">
        <v>29</v>
      </c>
      <c r="F2479">
        <v>0</v>
      </c>
      <c r="G2479">
        <v>236.3</v>
      </c>
      <c r="H2479">
        <v>91</v>
      </c>
      <c r="I2479">
        <v>40.17</v>
      </c>
      <c r="J2479">
        <v>152.80000000000001</v>
      </c>
      <c r="K2479">
        <v>130</v>
      </c>
      <c r="L2479">
        <v>12.99</v>
      </c>
      <c r="M2479">
        <v>160.30000000000001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 x14ac:dyDescent="0.25">
      <c r="A2480" t="s">
        <v>63</v>
      </c>
      <c r="B2480">
        <v>78</v>
      </c>
      <c r="C2480">
        <v>408</v>
      </c>
      <c r="D2480" t="s">
        <v>29</v>
      </c>
      <c r="E2480" t="s">
        <v>29</v>
      </c>
      <c r="F2480">
        <v>0</v>
      </c>
      <c r="G2480">
        <v>163.6</v>
      </c>
      <c r="H2480">
        <v>88</v>
      </c>
      <c r="I2480">
        <v>27.81</v>
      </c>
      <c r="J2480">
        <v>283.39999999999998</v>
      </c>
      <c r="K2480">
        <v>93</v>
      </c>
      <c r="L2480">
        <v>24.09</v>
      </c>
      <c r="M2480">
        <v>262.10000000000002</v>
      </c>
      <c r="N2480">
        <v>108</v>
      </c>
      <c r="O2480">
        <v>11.79</v>
      </c>
      <c r="P2480">
        <v>8.6</v>
      </c>
      <c r="Q2480">
        <v>9</v>
      </c>
      <c r="R2480">
        <v>2.3199999999999998</v>
      </c>
      <c r="S2480">
        <v>0</v>
      </c>
      <c r="T2480" t="b">
        <v>0</v>
      </c>
    </row>
    <row r="2481" spans="1:20" x14ac:dyDescent="0.25">
      <c r="A2481" t="s">
        <v>54</v>
      </c>
      <c r="B2481">
        <v>100</v>
      </c>
      <c r="C2481">
        <v>415</v>
      </c>
      <c r="D2481" t="s">
        <v>29</v>
      </c>
      <c r="E2481" t="s">
        <v>30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 x14ac:dyDescent="0.25">
      <c r="A2482" t="s">
        <v>37</v>
      </c>
      <c r="B2482">
        <v>70</v>
      </c>
      <c r="C2482">
        <v>510</v>
      </c>
      <c r="D2482" t="s">
        <v>29</v>
      </c>
      <c r="E2482" t="s">
        <v>30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 x14ac:dyDescent="0.25">
      <c r="A2483" t="s">
        <v>43</v>
      </c>
      <c r="B2483">
        <v>117</v>
      </c>
      <c r="C2483">
        <v>408</v>
      </c>
      <c r="D2483" t="s">
        <v>29</v>
      </c>
      <c r="E2483" t="s">
        <v>29</v>
      </c>
      <c r="F2483">
        <v>0</v>
      </c>
      <c r="G2483">
        <v>97.1</v>
      </c>
      <c r="H2483">
        <v>98</v>
      </c>
      <c r="I2483">
        <v>16.510000000000002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 x14ac:dyDescent="0.25">
      <c r="A2484" t="s">
        <v>73</v>
      </c>
      <c r="B2484">
        <v>68</v>
      </c>
      <c r="C2484">
        <v>415</v>
      </c>
      <c r="D2484" t="s">
        <v>29</v>
      </c>
      <c r="E2484" t="s">
        <v>29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 x14ac:dyDescent="0.25">
      <c r="A2485" t="s">
        <v>63</v>
      </c>
      <c r="B2485">
        <v>27</v>
      </c>
      <c r="C2485">
        <v>510</v>
      </c>
      <c r="D2485" t="s">
        <v>29</v>
      </c>
      <c r="E2485" t="s">
        <v>29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8.1999999999999993</v>
      </c>
      <c r="Q2485">
        <v>3</v>
      </c>
      <c r="R2485">
        <v>2.21</v>
      </c>
      <c r="S2485">
        <v>2</v>
      </c>
      <c r="T2485" t="b">
        <v>1</v>
      </c>
    </row>
    <row r="2486" spans="1:20" x14ac:dyDescent="0.25">
      <c r="A2486" t="s">
        <v>66</v>
      </c>
      <c r="B2486">
        <v>91</v>
      </c>
      <c r="C2486">
        <v>415</v>
      </c>
      <c r="D2486" t="s">
        <v>29</v>
      </c>
      <c r="E2486" t="s">
        <v>29</v>
      </c>
      <c r="F2486">
        <v>0</v>
      </c>
      <c r="G2486">
        <v>133.80000000000001</v>
      </c>
      <c r="H2486">
        <v>61</v>
      </c>
      <c r="I2486">
        <v>22.75</v>
      </c>
      <c r="J2486">
        <v>158.80000000000001</v>
      </c>
      <c r="K2486">
        <v>96</v>
      </c>
      <c r="L2486">
        <v>13.5</v>
      </c>
      <c r="M2486">
        <v>189.6</v>
      </c>
      <c r="N2486">
        <v>92</v>
      </c>
      <c r="O2486">
        <v>8.5299999999999994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 x14ac:dyDescent="0.25">
      <c r="A2487" t="s">
        <v>34</v>
      </c>
      <c r="B2487">
        <v>181</v>
      </c>
      <c r="C2487">
        <v>415</v>
      </c>
      <c r="D2487" t="s">
        <v>29</v>
      </c>
      <c r="E2487" t="s">
        <v>30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9.7100000000000009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 x14ac:dyDescent="0.25">
      <c r="A2488" t="s">
        <v>46</v>
      </c>
      <c r="B2488">
        <v>118</v>
      </c>
      <c r="C2488">
        <v>415</v>
      </c>
      <c r="D2488" t="s">
        <v>29</v>
      </c>
      <c r="E2488" t="s">
        <v>30</v>
      </c>
      <c r="F2488">
        <v>36</v>
      </c>
      <c r="G2488">
        <v>294.89999999999998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9.8000000000000007</v>
      </c>
      <c r="Q2488">
        <v>5</v>
      </c>
      <c r="R2488">
        <v>2.65</v>
      </c>
      <c r="S2488">
        <v>3</v>
      </c>
      <c r="T2488" t="b">
        <v>0</v>
      </c>
    </row>
    <row r="2489" spans="1:20" x14ac:dyDescent="0.25">
      <c r="A2489" t="s">
        <v>72</v>
      </c>
      <c r="B2489">
        <v>112</v>
      </c>
      <c r="C2489">
        <v>415</v>
      </c>
      <c r="D2489" t="s">
        <v>29</v>
      </c>
      <c r="E2489" t="s">
        <v>29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 x14ac:dyDescent="0.25">
      <c r="A2490" t="s">
        <v>53</v>
      </c>
      <c r="B2490">
        <v>93</v>
      </c>
      <c r="C2490">
        <v>415</v>
      </c>
      <c r="D2490" t="s">
        <v>29</v>
      </c>
      <c r="E2490" t="s">
        <v>29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16.309999999999999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 x14ac:dyDescent="0.25">
      <c r="A2491" t="s">
        <v>47</v>
      </c>
      <c r="B2491">
        <v>102</v>
      </c>
      <c r="C2491">
        <v>408</v>
      </c>
      <c r="D2491" t="s">
        <v>29</v>
      </c>
      <c r="E2491" t="s">
        <v>29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17.670000000000002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 x14ac:dyDescent="0.25">
      <c r="A2492" t="s">
        <v>35</v>
      </c>
      <c r="B2492">
        <v>93</v>
      </c>
      <c r="C2492">
        <v>415</v>
      </c>
      <c r="D2492" t="s">
        <v>29</v>
      </c>
      <c r="E2492" t="s">
        <v>29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 x14ac:dyDescent="0.25">
      <c r="A2493" t="s">
        <v>47</v>
      </c>
      <c r="B2493">
        <v>107</v>
      </c>
      <c r="C2493">
        <v>415</v>
      </c>
      <c r="D2493" t="s">
        <v>29</v>
      </c>
      <c r="E2493" t="s">
        <v>30</v>
      </c>
      <c r="F2493">
        <v>32</v>
      </c>
      <c r="G2493">
        <v>134.19999999999999</v>
      </c>
      <c r="H2493">
        <v>101</v>
      </c>
      <c r="I2493">
        <v>22.81</v>
      </c>
      <c r="J2493">
        <v>211.9</v>
      </c>
      <c r="K2493">
        <v>145</v>
      </c>
      <c r="L2493">
        <v>18.010000000000002</v>
      </c>
      <c r="M2493">
        <v>167.6</v>
      </c>
      <c r="N2493">
        <v>138</v>
      </c>
      <c r="O2493">
        <v>7.54</v>
      </c>
      <c r="P2493">
        <v>8.1999999999999993</v>
      </c>
      <c r="Q2493">
        <v>5</v>
      </c>
      <c r="R2493">
        <v>2.21</v>
      </c>
      <c r="S2493">
        <v>1</v>
      </c>
      <c r="T2493" t="b">
        <v>0</v>
      </c>
    </row>
    <row r="2494" spans="1:20" x14ac:dyDescent="0.25">
      <c r="A2494" t="s">
        <v>59</v>
      </c>
      <c r="B2494">
        <v>115</v>
      </c>
      <c r="C2494">
        <v>415</v>
      </c>
      <c r="D2494" t="s">
        <v>29</v>
      </c>
      <c r="E2494" t="s">
        <v>29</v>
      </c>
      <c r="F2494">
        <v>0</v>
      </c>
      <c r="G2494">
        <v>195.9</v>
      </c>
      <c r="H2494">
        <v>111</v>
      </c>
      <c r="I2494">
        <v>33.299999999999997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 x14ac:dyDescent="0.25">
      <c r="A2495" t="s">
        <v>57</v>
      </c>
      <c r="B2495">
        <v>63</v>
      </c>
      <c r="C2495">
        <v>510</v>
      </c>
      <c r="D2495" t="s">
        <v>29</v>
      </c>
      <c r="E2495" t="s">
        <v>30</v>
      </c>
      <c r="F2495">
        <v>13</v>
      </c>
      <c r="G2495">
        <v>214.2</v>
      </c>
      <c r="H2495">
        <v>61</v>
      </c>
      <c r="I2495">
        <v>36.409999999999997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 x14ac:dyDescent="0.25">
      <c r="A2496" t="s">
        <v>69</v>
      </c>
      <c r="B2496">
        <v>119</v>
      </c>
      <c r="C2496">
        <v>408</v>
      </c>
      <c r="D2496" t="s">
        <v>29</v>
      </c>
      <c r="E2496" t="s">
        <v>30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 x14ac:dyDescent="0.25">
      <c r="A2497" t="s">
        <v>53</v>
      </c>
      <c r="B2497">
        <v>73</v>
      </c>
      <c r="C2497">
        <v>408</v>
      </c>
      <c r="D2497" t="s">
        <v>29</v>
      </c>
      <c r="E2497" t="s">
        <v>29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16.420000000000002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 x14ac:dyDescent="0.25">
      <c r="A2498" t="s">
        <v>78</v>
      </c>
      <c r="B2498">
        <v>98</v>
      </c>
      <c r="C2498">
        <v>408</v>
      </c>
      <c r="D2498" t="s">
        <v>29</v>
      </c>
      <c r="E2498" t="s">
        <v>30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 x14ac:dyDescent="0.25">
      <c r="A2499" t="s">
        <v>43</v>
      </c>
      <c r="B2499">
        <v>139</v>
      </c>
      <c r="C2499">
        <v>415</v>
      </c>
      <c r="D2499" t="s">
        <v>30</v>
      </c>
      <c r="E2499" t="s">
        <v>29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16.399999999999999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 x14ac:dyDescent="0.25">
      <c r="A2500" t="s">
        <v>70</v>
      </c>
      <c r="B2500">
        <v>31</v>
      </c>
      <c r="C2500">
        <v>408</v>
      </c>
      <c r="D2500" t="s">
        <v>29</v>
      </c>
      <c r="E2500" t="s">
        <v>30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 x14ac:dyDescent="0.25">
      <c r="A2501" t="s">
        <v>77</v>
      </c>
      <c r="B2501">
        <v>129</v>
      </c>
      <c r="C2501">
        <v>510</v>
      </c>
      <c r="D2501" t="s">
        <v>29</v>
      </c>
      <c r="E2501" t="s">
        <v>30</v>
      </c>
      <c r="F2501">
        <v>32</v>
      </c>
      <c r="G2501">
        <v>211</v>
      </c>
      <c r="H2501">
        <v>99</v>
      </c>
      <c r="I2501">
        <v>35.869999999999997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 x14ac:dyDescent="0.25">
      <c r="A2502" t="s">
        <v>56</v>
      </c>
      <c r="B2502">
        <v>115</v>
      </c>
      <c r="C2502">
        <v>415</v>
      </c>
      <c r="D2502" t="s">
        <v>29</v>
      </c>
      <c r="E2502" t="s">
        <v>29</v>
      </c>
      <c r="F2502">
        <v>0</v>
      </c>
      <c r="G2502">
        <v>139.30000000000001</v>
      </c>
      <c r="H2502">
        <v>89</v>
      </c>
      <c r="I2502">
        <v>23.68</v>
      </c>
      <c r="J2502">
        <v>192.3</v>
      </c>
      <c r="K2502">
        <v>95</v>
      </c>
      <c r="L2502">
        <v>16.350000000000001</v>
      </c>
      <c r="M2502">
        <v>151</v>
      </c>
      <c r="N2502">
        <v>75</v>
      </c>
      <c r="O2502">
        <v>6.8</v>
      </c>
      <c r="P2502">
        <v>9.3000000000000007</v>
      </c>
      <c r="Q2502">
        <v>3</v>
      </c>
      <c r="R2502">
        <v>2.5099999999999998</v>
      </c>
      <c r="S2502">
        <v>7</v>
      </c>
      <c r="T2502" t="b">
        <v>1</v>
      </c>
    </row>
    <row r="2503" spans="1:20" x14ac:dyDescent="0.25">
      <c r="A2503" t="s">
        <v>78</v>
      </c>
      <c r="B2503">
        <v>108</v>
      </c>
      <c r="C2503">
        <v>415</v>
      </c>
      <c r="D2503" t="s">
        <v>29</v>
      </c>
      <c r="E2503" t="s">
        <v>29</v>
      </c>
      <c r="F2503">
        <v>0</v>
      </c>
      <c r="G2503">
        <v>291.60000000000002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 x14ac:dyDescent="0.25">
      <c r="A2504" t="s">
        <v>37</v>
      </c>
      <c r="B2504">
        <v>102</v>
      </c>
      <c r="C2504">
        <v>408</v>
      </c>
      <c r="D2504" t="s">
        <v>29</v>
      </c>
      <c r="E2504" t="s">
        <v>29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163.19999999999999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 x14ac:dyDescent="0.25">
      <c r="A2505" t="s">
        <v>33</v>
      </c>
      <c r="B2505">
        <v>149</v>
      </c>
      <c r="C2505">
        <v>408</v>
      </c>
      <c r="D2505" t="s">
        <v>29</v>
      </c>
      <c r="E2505" t="s">
        <v>29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8.8000000000000007</v>
      </c>
      <c r="Q2505">
        <v>1</v>
      </c>
      <c r="R2505">
        <v>2.38</v>
      </c>
      <c r="S2505">
        <v>1</v>
      </c>
      <c r="T2505" t="b">
        <v>0</v>
      </c>
    </row>
    <row r="2506" spans="1:20" x14ac:dyDescent="0.25">
      <c r="A2506" t="s">
        <v>79</v>
      </c>
      <c r="B2506">
        <v>131</v>
      </c>
      <c r="C2506">
        <v>408</v>
      </c>
      <c r="D2506" t="s">
        <v>29</v>
      </c>
      <c r="E2506" t="s">
        <v>30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16.489999999999998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 x14ac:dyDescent="0.25">
      <c r="A2507" t="s">
        <v>36</v>
      </c>
      <c r="B2507">
        <v>83</v>
      </c>
      <c r="C2507">
        <v>408</v>
      </c>
      <c r="D2507" t="s">
        <v>29</v>
      </c>
      <c r="E2507" t="s">
        <v>29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 x14ac:dyDescent="0.25">
      <c r="A2508" t="s">
        <v>56</v>
      </c>
      <c r="B2508">
        <v>96</v>
      </c>
      <c r="C2508">
        <v>415</v>
      </c>
      <c r="D2508" t="s">
        <v>29</v>
      </c>
      <c r="E2508" t="s">
        <v>30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 x14ac:dyDescent="0.25">
      <c r="A2509" t="s">
        <v>53</v>
      </c>
      <c r="B2509">
        <v>98</v>
      </c>
      <c r="C2509">
        <v>408</v>
      </c>
      <c r="D2509" t="s">
        <v>29</v>
      </c>
      <c r="E2509" t="s">
        <v>29</v>
      </c>
      <c r="F2509">
        <v>0</v>
      </c>
      <c r="G2509">
        <v>169.9</v>
      </c>
      <c r="H2509">
        <v>77</v>
      </c>
      <c r="I2509">
        <v>28.88</v>
      </c>
      <c r="J2509">
        <v>138.30000000000001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2.2999999999999998</v>
      </c>
      <c r="S2509">
        <v>1</v>
      </c>
      <c r="T2509" t="b">
        <v>0</v>
      </c>
    </row>
    <row r="2510" spans="1:20" x14ac:dyDescent="0.25">
      <c r="A2510" t="s">
        <v>76</v>
      </c>
      <c r="B2510">
        <v>3</v>
      </c>
      <c r="C2510">
        <v>415</v>
      </c>
      <c r="D2510" t="s">
        <v>29</v>
      </c>
      <c r="E2510" t="s">
        <v>29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17.309999999999999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 x14ac:dyDescent="0.25">
      <c r="A2511" t="s">
        <v>35</v>
      </c>
      <c r="B2511">
        <v>77</v>
      </c>
      <c r="C2511">
        <v>408</v>
      </c>
      <c r="D2511" t="s">
        <v>29</v>
      </c>
      <c r="E2511" t="s">
        <v>30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 x14ac:dyDescent="0.25">
      <c r="A2512" t="s">
        <v>79</v>
      </c>
      <c r="B2512">
        <v>75</v>
      </c>
      <c r="C2512">
        <v>408</v>
      </c>
      <c r="D2512" t="s">
        <v>29</v>
      </c>
      <c r="E2512" t="s">
        <v>30</v>
      </c>
      <c r="F2512">
        <v>24</v>
      </c>
      <c r="G2512">
        <v>225.5</v>
      </c>
      <c r="H2512">
        <v>119</v>
      </c>
      <c r="I2512">
        <v>38.340000000000003</v>
      </c>
      <c r="J2512">
        <v>182</v>
      </c>
      <c r="K2512">
        <v>108</v>
      </c>
      <c r="L2512">
        <v>15.47</v>
      </c>
      <c r="M2512">
        <v>270.89999999999998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 x14ac:dyDescent="0.25">
      <c r="A2513" t="s">
        <v>39</v>
      </c>
      <c r="B2513">
        <v>40</v>
      </c>
      <c r="C2513">
        <v>510</v>
      </c>
      <c r="D2513" t="s">
        <v>29</v>
      </c>
      <c r="E2513" t="s">
        <v>29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 x14ac:dyDescent="0.25">
      <c r="A2514" t="s">
        <v>34</v>
      </c>
      <c r="B2514">
        <v>16</v>
      </c>
      <c r="C2514">
        <v>415</v>
      </c>
      <c r="D2514" t="s">
        <v>29</v>
      </c>
      <c r="E2514" t="s">
        <v>29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19.559999999999999</v>
      </c>
      <c r="M2514">
        <v>148.80000000000001</v>
      </c>
      <c r="N2514">
        <v>78</v>
      </c>
      <c r="O2514">
        <v>6.7</v>
      </c>
      <c r="P2514">
        <v>10.199999999999999</v>
      </c>
      <c r="Q2514">
        <v>11</v>
      </c>
      <c r="R2514">
        <v>2.75</v>
      </c>
      <c r="S2514">
        <v>3</v>
      </c>
      <c r="T2514" t="b">
        <v>0</v>
      </c>
    </row>
    <row r="2515" spans="1:20" x14ac:dyDescent="0.25">
      <c r="A2515" t="s">
        <v>70</v>
      </c>
      <c r="B2515">
        <v>115</v>
      </c>
      <c r="C2515">
        <v>510</v>
      </c>
      <c r="D2515" t="s">
        <v>29</v>
      </c>
      <c r="E2515" t="s">
        <v>30</v>
      </c>
      <c r="F2515">
        <v>16</v>
      </c>
      <c r="G2515">
        <v>133.30000000000001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 x14ac:dyDescent="0.25">
      <c r="A2516" t="s">
        <v>77</v>
      </c>
      <c r="B2516">
        <v>108</v>
      </c>
      <c r="C2516">
        <v>510</v>
      </c>
      <c r="D2516" t="s">
        <v>29</v>
      </c>
      <c r="E2516" t="s">
        <v>30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8.6999999999999993</v>
      </c>
      <c r="Q2516">
        <v>1</v>
      </c>
      <c r="R2516">
        <v>2.35</v>
      </c>
      <c r="S2516">
        <v>3</v>
      </c>
      <c r="T2516" t="b">
        <v>0</v>
      </c>
    </row>
    <row r="2517" spans="1:20" x14ac:dyDescent="0.25">
      <c r="A2517" t="s">
        <v>42</v>
      </c>
      <c r="B2517">
        <v>107</v>
      </c>
      <c r="C2517">
        <v>510</v>
      </c>
      <c r="D2517" t="s">
        <v>29</v>
      </c>
      <c r="E2517" t="s">
        <v>29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8.3000000000000007</v>
      </c>
      <c r="Q2517">
        <v>3</v>
      </c>
      <c r="R2517">
        <v>2.2400000000000002</v>
      </c>
      <c r="S2517">
        <v>5</v>
      </c>
      <c r="T2517" t="b">
        <v>0</v>
      </c>
    </row>
    <row r="2518" spans="1:20" x14ac:dyDescent="0.25">
      <c r="A2518" t="s">
        <v>64</v>
      </c>
      <c r="B2518">
        <v>161</v>
      </c>
      <c r="C2518">
        <v>415</v>
      </c>
      <c r="D2518" t="s">
        <v>29</v>
      </c>
      <c r="E2518" t="s">
        <v>29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19.579999999999998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 x14ac:dyDescent="0.25">
      <c r="A2519" t="s">
        <v>80</v>
      </c>
      <c r="B2519">
        <v>147</v>
      </c>
      <c r="C2519">
        <v>415</v>
      </c>
      <c r="D2519" t="s">
        <v>29</v>
      </c>
      <c r="E2519" t="s">
        <v>29</v>
      </c>
      <c r="F2519">
        <v>0</v>
      </c>
      <c r="G2519">
        <v>124.4</v>
      </c>
      <c r="H2519">
        <v>74</v>
      </c>
      <c r="I2519">
        <v>21.15</v>
      </c>
      <c r="J2519">
        <v>320.89999999999998</v>
      </c>
      <c r="K2519">
        <v>78</v>
      </c>
      <c r="L2519">
        <v>27.28</v>
      </c>
      <c r="M2519">
        <v>157.19999999999999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 x14ac:dyDescent="0.25">
      <c r="A2520" t="s">
        <v>36</v>
      </c>
      <c r="B2520">
        <v>107</v>
      </c>
      <c r="C2520">
        <v>415</v>
      </c>
      <c r="D2520" t="s">
        <v>29</v>
      </c>
      <c r="E2520" t="s">
        <v>29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9.7200000000000006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 x14ac:dyDescent="0.25">
      <c r="A2521" t="s">
        <v>54</v>
      </c>
      <c r="B2521">
        <v>58</v>
      </c>
      <c r="C2521">
        <v>510</v>
      </c>
      <c r="D2521" t="s">
        <v>29</v>
      </c>
      <c r="E2521" t="s">
        <v>29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 x14ac:dyDescent="0.25">
      <c r="A2522" t="s">
        <v>52</v>
      </c>
      <c r="B2522">
        <v>91</v>
      </c>
      <c r="C2522">
        <v>408</v>
      </c>
      <c r="D2522" t="s">
        <v>29</v>
      </c>
      <c r="E2522" t="s">
        <v>29</v>
      </c>
      <c r="F2522">
        <v>0</v>
      </c>
      <c r="G2522">
        <v>147.19999999999999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136.30000000000001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 x14ac:dyDescent="0.25">
      <c r="A2523" t="s">
        <v>34</v>
      </c>
      <c r="B2523">
        <v>13</v>
      </c>
      <c r="C2523">
        <v>415</v>
      </c>
      <c r="D2523" t="s">
        <v>29</v>
      </c>
      <c r="E2523" t="s">
        <v>29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 x14ac:dyDescent="0.25">
      <c r="A2524" t="s">
        <v>35</v>
      </c>
      <c r="B2524">
        <v>93</v>
      </c>
      <c r="C2524">
        <v>415</v>
      </c>
      <c r="D2524" t="s">
        <v>29</v>
      </c>
      <c r="E2524" t="s">
        <v>30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 x14ac:dyDescent="0.25">
      <c r="A2525" t="s">
        <v>59</v>
      </c>
      <c r="B2525">
        <v>95</v>
      </c>
      <c r="C2525">
        <v>510</v>
      </c>
      <c r="D2525" t="s">
        <v>29</v>
      </c>
      <c r="E2525" t="s">
        <v>29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 x14ac:dyDescent="0.25">
      <c r="A2526" t="s">
        <v>75</v>
      </c>
      <c r="B2526">
        <v>104</v>
      </c>
      <c r="C2526">
        <v>415</v>
      </c>
      <c r="D2526" t="s">
        <v>29</v>
      </c>
      <c r="E2526" t="s">
        <v>29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 x14ac:dyDescent="0.25">
      <c r="A2527" t="s">
        <v>51</v>
      </c>
      <c r="B2527">
        <v>35</v>
      </c>
      <c r="C2527">
        <v>408</v>
      </c>
      <c r="D2527" t="s">
        <v>29</v>
      </c>
      <c r="E2527" t="s">
        <v>29</v>
      </c>
      <c r="F2527">
        <v>0</v>
      </c>
      <c r="G2527">
        <v>138.1</v>
      </c>
      <c r="H2527">
        <v>115</v>
      </c>
      <c r="I2527">
        <v>23.48</v>
      </c>
      <c r="J2527">
        <v>158.19999999999999</v>
      </c>
      <c r="K2527">
        <v>82</v>
      </c>
      <c r="L2527">
        <v>13.45</v>
      </c>
      <c r="M2527">
        <v>215.7</v>
      </c>
      <c r="N2527">
        <v>118</v>
      </c>
      <c r="O2527">
        <v>9.7100000000000009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 x14ac:dyDescent="0.25">
      <c r="A2528" t="s">
        <v>52</v>
      </c>
      <c r="B2528">
        <v>62</v>
      </c>
      <c r="C2528">
        <v>415</v>
      </c>
      <c r="D2528" t="s">
        <v>29</v>
      </c>
      <c r="E2528" t="s">
        <v>29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17.649999999999999</v>
      </c>
      <c r="M2528">
        <v>195</v>
      </c>
      <c r="N2528">
        <v>98</v>
      </c>
      <c r="O2528">
        <v>8.7799999999999994</v>
      </c>
      <c r="P2528">
        <v>8.8000000000000007</v>
      </c>
      <c r="Q2528">
        <v>4</v>
      </c>
      <c r="R2528">
        <v>2.38</v>
      </c>
      <c r="S2528">
        <v>3</v>
      </c>
      <c r="T2528" t="b">
        <v>0</v>
      </c>
    </row>
    <row r="2529" spans="1:20" x14ac:dyDescent="0.25">
      <c r="A2529" t="s">
        <v>73</v>
      </c>
      <c r="B2529">
        <v>143</v>
      </c>
      <c r="C2529">
        <v>510</v>
      </c>
      <c r="D2529" t="s">
        <v>29</v>
      </c>
      <c r="E2529" t="s">
        <v>29</v>
      </c>
      <c r="F2529">
        <v>0</v>
      </c>
      <c r="G2529">
        <v>155.4</v>
      </c>
      <c r="H2529">
        <v>112</v>
      </c>
      <c r="I2529">
        <v>26.42</v>
      </c>
      <c r="J2529">
        <v>290.89999999999998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 x14ac:dyDescent="0.25">
      <c r="A2530" t="s">
        <v>65</v>
      </c>
      <c r="B2530">
        <v>60</v>
      </c>
      <c r="C2530">
        <v>415</v>
      </c>
      <c r="D2530" t="s">
        <v>30</v>
      </c>
      <c r="E2530" t="s">
        <v>29</v>
      </c>
      <c r="F2530">
        <v>0</v>
      </c>
      <c r="G2530">
        <v>205.9</v>
      </c>
      <c r="H2530">
        <v>97</v>
      </c>
      <c r="I2530">
        <v>35</v>
      </c>
      <c r="J2530">
        <v>277.39999999999998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 x14ac:dyDescent="0.25">
      <c r="A2531" t="s">
        <v>75</v>
      </c>
      <c r="B2531">
        <v>41</v>
      </c>
      <c r="C2531">
        <v>510</v>
      </c>
      <c r="D2531" t="s">
        <v>29</v>
      </c>
      <c r="E2531" t="s">
        <v>29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 x14ac:dyDescent="0.25">
      <c r="A2532" t="s">
        <v>72</v>
      </c>
      <c r="B2532">
        <v>56</v>
      </c>
      <c r="C2532">
        <v>408</v>
      </c>
      <c r="D2532" t="s">
        <v>29</v>
      </c>
      <c r="E2532" t="s">
        <v>29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288.10000000000002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 x14ac:dyDescent="0.25">
      <c r="A2533" t="s">
        <v>47</v>
      </c>
      <c r="B2533">
        <v>94</v>
      </c>
      <c r="C2533">
        <v>415</v>
      </c>
      <c r="D2533" t="s">
        <v>29</v>
      </c>
      <c r="E2533" t="s">
        <v>29</v>
      </c>
      <c r="F2533">
        <v>0</v>
      </c>
      <c r="G2533">
        <v>220.8</v>
      </c>
      <c r="H2533">
        <v>111</v>
      </c>
      <c r="I2533">
        <v>37.54</v>
      </c>
      <c r="J2533">
        <v>156.19999999999999</v>
      </c>
      <c r="K2533">
        <v>67</v>
      </c>
      <c r="L2533">
        <v>13.28</v>
      </c>
      <c r="M2533">
        <v>187.9</v>
      </c>
      <c r="N2533">
        <v>89</v>
      </c>
      <c r="O2533">
        <v>8.4600000000000009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 x14ac:dyDescent="0.25">
      <c r="A2534" t="s">
        <v>80</v>
      </c>
      <c r="B2534">
        <v>73</v>
      </c>
      <c r="C2534">
        <v>415</v>
      </c>
      <c r="D2534" t="s">
        <v>29</v>
      </c>
      <c r="E2534" t="s">
        <v>30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 x14ac:dyDescent="0.25">
      <c r="A2535" t="s">
        <v>56</v>
      </c>
      <c r="B2535">
        <v>127</v>
      </c>
      <c r="C2535">
        <v>415</v>
      </c>
      <c r="D2535" t="s">
        <v>30</v>
      </c>
      <c r="E2535" t="s">
        <v>29</v>
      </c>
      <c r="F2535">
        <v>0</v>
      </c>
      <c r="G2535">
        <v>143.19999999999999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 x14ac:dyDescent="0.25">
      <c r="A2536" t="s">
        <v>38</v>
      </c>
      <c r="B2536">
        <v>33</v>
      </c>
      <c r="C2536">
        <v>415</v>
      </c>
      <c r="D2536" t="s">
        <v>29</v>
      </c>
      <c r="E2536" t="s">
        <v>29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9.3000000000000007</v>
      </c>
      <c r="Q2536">
        <v>5</v>
      </c>
      <c r="R2536">
        <v>2.5099999999999998</v>
      </c>
      <c r="S2536">
        <v>3</v>
      </c>
      <c r="T2536" t="b">
        <v>0</v>
      </c>
    </row>
    <row r="2537" spans="1:20" x14ac:dyDescent="0.25">
      <c r="A2537" t="s">
        <v>68</v>
      </c>
      <c r="B2537">
        <v>148</v>
      </c>
      <c r="C2537">
        <v>510</v>
      </c>
      <c r="D2537" t="s">
        <v>29</v>
      </c>
      <c r="E2537" t="s">
        <v>29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 x14ac:dyDescent="0.25">
      <c r="A2538" t="s">
        <v>61</v>
      </c>
      <c r="B2538">
        <v>81</v>
      </c>
      <c r="C2538">
        <v>415</v>
      </c>
      <c r="D2538" t="s">
        <v>29</v>
      </c>
      <c r="E2538" t="s">
        <v>29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19.559999999999999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 x14ac:dyDescent="0.25">
      <c r="A2539" t="s">
        <v>64</v>
      </c>
      <c r="B2539">
        <v>122</v>
      </c>
      <c r="C2539">
        <v>510</v>
      </c>
      <c r="D2539" t="s">
        <v>29</v>
      </c>
      <c r="E2539" t="s">
        <v>30</v>
      </c>
      <c r="F2539">
        <v>30</v>
      </c>
      <c r="G2539">
        <v>230.1</v>
      </c>
      <c r="H2539">
        <v>108</v>
      </c>
      <c r="I2539">
        <v>39.119999999999997</v>
      </c>
      <c r="J2539">
        <v>287.60000000000002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 x14ac:dyDescent="0.25">
      <c r="A2540" t="s">
        <v>74</v>
      </c>
      <c r="B2540">
        <v>52</v>
      </c>
      <c r="C2540">
        <v>415</v>
      </c>
      <c r="D2540" t="s">
        <v>29</v>
      </c>
      <c r="E2540" t="s">
        <v>29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 x14ac:dyDescent="0.25">
      <c r="A2541" t="s">
        <v>57</v>
      </c>
      <c r="B2541">
        <v>91</v>
      </c>
      <c r="C2541">
        <v>408</v>
      </c>
      <c r="D2541" t="s">
        <v>29</v>
      </c>
      <c r="E2541" t="s">
        <v>30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 x14ac:dyDescent="0.25">
      <c r="A2542" t="s">
        <v>56</v>
      </c>
      <c r="B2542">
        <v>54</v>
      </c>
      <c r="C2542">
        <v>415</v>
      </c>
      <c r="D2542" t="s">
        <v>29</v>
      </c>
      <c r="E2542" t="s">
        <v>29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10.199999999999999</v>
      </c>
      <c r="Q2542">
        <v>2</v>
      </c>
      <c r="R2542">
        <v>2.75</v>
      </c>
      <c r="S2542">
        <v>2</v>
      </c>
      <c r="T2542" t="b">
        <v>1</v>
      </c>
    </row>
    <row r="2543" spans="1:20" x14ac:dyDescent="0.25">
      <c r="A2543" t="s">
        <v>51</v>
      </c>
      <c r="B2543">
        <v>152</v>
      </c>
      <c r="C2543">
        <v>510</v>
      </c>
      <c r="D2543" t="s">
        <v>29</v>
      </c>
      <c r="E2543" t="s">
        <v>29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8.8800000000000008</v>
      </c>
      <c r="P2543">
        <v>9</v>
      </c>
      <c r="Q2543">
        <v>2</v>
      </c>
      <c r="R2543">
        <v>2.4300000000000002</v>
      </c>
      <c r="S2543">
        <v>1</v>
      </c>
      <c r="T2543" t="b">
        <v>0</v>
      </c>
    </row>
    <row r="2544" spans="1:20" x14ac:dyDescent="0.25">
      <c r="A2544" t="s">
        <v>44</v>
      </c>
      <c r="B2544">
        <v>201</v>
      </c>
      <c r="C2544">
        <v>415</v>
      </c>
      <c r="D2544" t="s">
        <v>29</v>
      </c>
      <c r="E2544" t="s">
        <v>29</v>
      </c>
      <c r="F2544">
        <v>0</v>
      </c>
      <c r="G2544">
        <v>225.9</v>
      </c>
      <c r="H2544">
        <v>110</v>
      </c>
      <c r="I2544">
        <v>38.4</v>
      </c>
      <c r="J2544">
        <v>299.10000000000002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 x14ac:dyDescent="0.25">
      <c r="A2545" t="s">
        <v>41</v>
      </c>
      <c r="B2545">
        <v>78</v>
      </c>
      <c r="C2545">
        <v>415</v>
      </c>
      <c r="D2545" t="s">
        <v>29</v>
      </c>
      <c r="E2545" t="s">
        <v>29</v>
      </c>
      <c r="F2545">
        <v>0</v>
      </c>
      <c r="G2545">
        <v>103.5</v>
      </c>
      <c r="H2545">
        <v>115</v>
      </c>
      <c r="I2545">
        <v>17.600000000000001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9.0500000000000007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 x14ac:dyDescent="0.25">
      <c r="A2546" t="s">
        <v>80</v>
      </c>
      <c r="B2546">
        <v>67</v>
      </c>
      <c r="C2546">
        <v>415</v>
      </c>
      <c r="D2546" t="s">
        <v>29</v>
      </c>
      <c r="E2546" t="s">
        <v>29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2.0299999999999998</v>
      </c>
      <c r="S2546">
        <v>0</v>
      </c>
      <c r="T2546" t="b">
        <v>0</v>
      </c>
    </row>
    <row r="2547" spans="1:20" x14ac:dyDescent="0.25">
      <c r="A2547" t="s">
        <v>51</v>
      </c>
      <c r="B2547">
        <v>100</v>
      </c>
      <c r="C2547">
        <v>408</v>
      </c>
      <c r="D2547" t="s">
        <v>29</v>
      </c>
      <c r="E2547" t="s">
        <v>29</v>
      </c>
      <c r="F2547">
        <v>0</v>
      </c>
      <c r="G2547">
        <v>218.8</v>
      </c>
      <c r="H2547">
        <v>125</v>
      </c>
      <c r="I2547">
        <v>37.200000000000003</v>
      </c>
      <c r="J2547">
        <v>148.30000000000001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9.6999999999999993</v>
      </c>
      <c r="Q2547">
        <v>6</v>
      </c>
      <c r="R2547">
        <v>2.62</v>
      </c>
      <c r="S2547">
        <v>1</v>
      </c>
      <c r="T2547" t="b">
        <v>0</v>
      </c>
    </row>
    <row r="2548" spans="1:20" x14ac:dyDescent="0.25">
      <c r="A2548" t="s">
        <v>49</v>
      </c>
      <c r="B2548">
        <v>41</v>
      </c>
      <c r="C2548">
        <v>510</v>
      </c>
      <c r="D2548" t="s">
        <v>29</v>
      </c>
      <c r="E2548" t="s">
        <v>29</v>
      </c>
      <c r="F2548">
        <v>0</v>
      </c>
      <c r="G2548">
        <v>223.8</v>
      </c>
      <c r="H2548">
        <v>67</v>
      </c>
      <c r="I2548">
        <v>38.049999999999997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 x14ac:dyDescent="0.25">
      <c r="A2549" t="s">
        <v>58</v>
      </c>
      <c r="B2549">
        <v>133</v>
      </c>
      <c r="C2549">
        <v>415</v>
      </c>
      <c r="D2549" t="s">
        <v>29</v>
      </c>
      <c r="E2549" t="s">
        <v>29</v>
      </c>
      <c r="F2549">
        <v>0</v>
      </c>
      <c r="G2549">
        <v>143.80000000000001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 x14ac:dyDescent="0.25">
      <c r="A2550" t="s">
        <v>75</v>
      </c>
      <c r="B2550">
        <v>36</v>
      </c>
      <c r="C2550">
        <v>408</v>
      </c>
      <c r="D2550" t="s">
        <v>29</v>
      </c>
      <c r="E2550" t="s">
        <v>30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325.89999999999998</v>
      </c>
      <c r="N2550">
        <v>105</v>
      </c>
      <c r="O2550">
        <v>14.67</v>
      </c>
      <c r="P2550">
        <v>8.6</v>
      </c>
      <c r="Q2550">
        <v>6</v>
      </c>
      <c r="R2550">
        <v>2.3199999999999998</v>
      </c>
      <c r="S2550">
        <v>2</v>
      </c>
      <c r="T2550" t="b">
        <v>0</v>
      </c>
    </row>
    <row r="2551" spans="1:20" x14ac:dyDescent="0.25">
      <c r="A2551" t="s">
        <v>55</v>
      </c>
      <c r="B2551">
        <v>51</v>
      </c>
      <c r="C2551">
        <v>510</v>
      </c>
      <c r="D2551" t="s">
        <v>29</v>
      </c>
      <c r="E2551" t="s">
        <v>30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17.309999999999999</v>
      </c>
      <c r="M2551">
        <v>246.2</v>
      </c>
      <c r="N2551">
        <v>88</v>
      </c>
      <c r="O2551">
        <v>11.08</v>
      </c>
      <c r="P2551">
        <v>8.3000000000000007</v>
      </c>
      <c r="Q2551">
        <v>3</v>
      </c>
      <c r="R2551">
        <v>2.2400000000000002</v>
      </c>
      <c r="S2551">
        <v>0</v>
      </c>
      <c r="T2551" t="b">
        <v>0</v>
      </c>
    </row>
    <row r="2552" spans="1:20" x14ac:dyDescent="0.25">
      <c r="A2552" t="s">
        <v>70</v>
      </c>
      <c r="B2552">
        <v>122</v>
      </c>
      <c r="C2552">
        <v>415</v>
      </c>
      <c r="D2552" t="s">
        <v>29</v>
      </c>
      <c r="E2552" t="s">
        <v>29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 x14ac:dyDescent="0.25">
      <c r="A2553" t="s">
        <v>61</v>
      </c>
      <c r="B2553">
        <v>110</v>
      </c>
      <c r="C2553">
        <v>408</v>
      </c>
      <c r="D2553" t="s">
        <v>29</v>
      </c>
      <c r="E2553" t="s">
        <v>29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 x14ac:dyDescent="0.25">
      <c r="A2554" t="s">
        <v>34</v>
      </c>
      <c r="B2554">
        <v>91</v>
      </c>
      <c r="C2554">
        <v>408</v>
      </c>
      <c r="D2554" t="s">
        <v>30</v>
      </c>
      <c r="E2554" t="s">
        <v>29</v>
      </c>
      <c r="F2554">
        <v>0</v>
      </c>
      <c r="G2554">
        <v>151.80000000000001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156.30000000000001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 x14ac:dyDescent="0.25">
      <c r="A2555" t="s">
        <v>59</v>
      </c>
      <c r="B2555">
        <v>121</v>
      </c>
      <c r="C2555">
        <v>408</v>
      </c>
      <c r="D2555" t="s">
        <v>29</v>
      </c>
      <c r="E2555" t="s">
        <v>29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16.399999999999999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 x14ac:dyDescent="0.25">
      <c r="A2556" t="s">
        <v>37</v>
      </c>
      <c r="B2556">
        <v>109</v>
      </c>
      <c r="C2556">
        <v>415</v>
      </c>
      <c r="D2556" t="s">
        <v>29</v>
      </c>
      <c r="E2556" t="s">
        <v>29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 x14ac:dyDescent="0.25">
      <c r="A2557" t="s">
        <v>64</v>
      </c>
      <c r="B2557">
        <v>72</v>
      </c>
      <c r="C2557">
        <v>415</v>
      </c>
      <c r="D2557" t="s">
        <v>29</v>
      </c>
      <c r="E2557" t="s">
        <v>29</v>
      </c>
      <c r="F2557">
        <v>0</v>
      </c>
      <c r="G2557">
        <v>196.5</v>
      </c>
      <c r="H2557">
        <v>88</v>
      </c>
      <c r="I2557">
        <v>33.409999999999997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 x14ac:dyDescent="0.25">
      <c r="A2558" t="s">
        <v>47</v>
      </c>
      <c r="B2558">
        <v>108</v>
      </c>
      <c r="C2558">
        <v>415</v>
      </c>
      <c r="D2558" t="s">
        <v>29</v>
      </c>
      <c r="E2558" t="s">
        <v>29</v>
      </c>
      <c r="F2558">
        <v>0</v>
      </c>
      <c r="G2558">
        <v>193.3</v>
      </c>
      <c r="H2558">
        <v>126</v>
      </c>
      <c r="I2558">
        <v>32.86</v>
      </c>
      <c r="J2558">
        <v>154.69999999999999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 x14ac:dyDescent="0.25">
      <c r="A2559" t="s">
        <v>79</v>
      </c>
      <c r="B2559">
        <v>148</v>
      </c>
      <c r="C2559">
        <v>415</v>
      </c>
      <c r="D2559" t="s">
        <v>30</v>
      </c>
      <c r="E2559" t="s">
        <v>29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277.39999999999998</v>
      </c>
      <c r="N2559">
        <v>62</v>
      </c>
      <c r="O2559">
        <v>12.48</v>
      </c>
      <c r="P2559">
        <v>8.1999999999999993</v>
      </c>
      <c r="Q2559">
        <v>5</v>
      </c>
      <c r="R2559">
        <v>2.21</v>
      </c>
      <c r="S2559">
        <v>1</v>
      </c>
      <c r="T2559" t="b">
        <v>0</v>
      </c>
    </row>
    <row r="2560" spans="1:20" x14ac:dyDescent="0.25">
      <c r="A2560" t="s">
        <v>65</v>
      </c>
      <c r="B2560">
        <v>76</v>
      </c>
      <c r="C2560">
        <v>510</v>
      </c>
      <c r="D2560" t="s">
        <v>30</v>
      </c>
      <c r="E2560" t="s">
        <v>29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9.3800000000000008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 x14ac:dyDescent="0.25">
      <c r="A2561" t="s">
        <v>41</v>
      </c>
      <c r="B2561">
        <v>103</v>
      </c>
      <c r="C2561">
        <v>415</v>
      </c>
      <c r="D2561" t="s">
        <v>29</v>
      </c>
      <c r="E2561" t="s">
        <v>29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4.2699999999999996</v>
      </c>
      <c r="S2561">
        <v>6</v>
      </c>
      <c r="T2561" t="b">
        <v>1</v>
      </c>
    </row>
    <row r="2562" spans="1:20" x14ac:dyDescent="0.25">
      <c r="A2562" t="s">
        <v>80</v>
      </c>
      <c r="B2562">
        <v>87</v>
      </c>
      <c r="C2562">
        <v>415</v>
      </c>
      <c r="D2562" t="s">
        <v>29</v>
      </c>
      <c r="E2562" t="s">
        <v>29</v>
      </c>
      <c r="F2562">
        <v>0</v>
      </c>
      <c r="G2562">
        <v>240</v>
      </c>
      <c r="H2562">
        <v>83</v>
      </c>
      <c r="I2562">
        <v>40.799999999999997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9.3000000000000007</v>
      </c>
      <c r="Q2562">
        <v>2</v>
      </c>
      <c r="R2562">
        <v>2.5099999999999998</v>
      </c>
      <c r="S2562">
        <v>0</v>
      </c>
      <c r="T2562" t="b">
        <v>1</v>
      </c>
    </row>
    <row r="2563" spans="1:20" x14ac:dyDescent="0.25">
      <c r="A2563" t="s">
        <v>33</v>
      </c>
      <c r="B2563">
        <v>35</v>
      </c>
      <c r="C2563">
        <v>510</v>
      </c>
      <c r="D2563" t="s">
        <v>29</v>
      </c>
      <c r="E2563" t="s">
        <v>30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 x14ac:dyDescent="0.25">
      <c r="A2564" t="s">
        <v>41</v>
      </c>
      <c r="B2564">
        <v>77</v>
      </c>
      <c r="C2564">
        <v>510</v>
      </c>
      <c r="D2564" t="s">
        <v>29</v>
      </c>
      <c r="E2564" t="s">
        <v>30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9.6999999999999993</v>
      </c>
      <c r="Q2564">
        <v>9</v>
      </c>
      <c r="R2564">
        <v>2.62</v>
      </c>
      <c r="S2564">
        <v>2</v>
      </c>
      <c r="T2564" t="b">
        <v>0</v>
      </c>
    </row>
    <row r="2565" spans="1:20" x14ac:dyDescent="0.25">
      <c r="A2565" t="s">
        <v>58</v>
      </c>
      <c r="B2565">
        <v>124</v>
      </c>
      <c r="C2565">
        <v>510</v>
      </c>
      <c r="D2565" t="s">
        <v>29</v>
      </c>
      <c r="E2565" t="s">
        <v>29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 x14ac:dyDescent="0.25">
      <c r="A2566" t="s">
        <v>63</v>
      </c>
      <c r="B2566">
        <v>30</v>
      </c>
      <c r="C2566">
        <v>415</v>
      </c>
      <c r="D2566" t="s">
        <v>29</v>
      </c>
      <c r="E2566" t="s">
        <v>29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287.39999999999998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 x14ac:dyDescent="0.25">
      <c r="A2567" t="s">
        <v>59</v>
      </c>
      <c r="B2567">
        <v>53</v>
      </c>
      <c r="C2567">
        <v>415</v>
      </c>
      <c r="D2567" t="s">
        <v>29</v>
      </c>
      <c r="E2567" t="s">
        <v>30</v>
      </c>
      <c r="F2567">
        <v>32</v>
      </c>
      <c r="G2567">
        <v>131.19999999999999</v>
      </c>
      <c r="H2567">
        <v>63</v>
      </c>
      <c r="I2567">
        <v>22.3</v>
      </c>
      <c r="J2567">
        <v>227.4</v>
      </c>
      <c r="K2567">
        <v>125</v>
      </c>
      <c r="L2567">
        <v>19.329999999999998</v>
      </c>
      <c r="M2567">
        <v>178.9</v>
      </c>
      <c r="N2567">
        <v>105</v>
      </c>
      <c r="O2567">
        <v>8.0500000000000007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 x14ac:dyDescent="0.25">
      <c r="A2568" t="s">
        <v>80</v>
      </c>
      <c r="B2568">
        <v>100</v>
      </c>
      <c r="C2568">
        <v>510</v>
      </c>
      <c r="D2568" t="s">
        <v>30</v>
      </c>
      <c r="E2568" t="s">
        <v>29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156.19999999999999</v>
      </c>
      <c r="N2568">
        <v>117</v>
      </c>
      <c r="O2568">
        <v>7.03</v>
      </c>
      <c r="P2568">
        <v>9.6999999999999993</v>
      </c>
      <c r="Q2568">
        <v>4</v>
      </c>
      <c r="R2568">
        <v>2.62</v>
      </c>
      <c r="S2568">
        <v>1</v>
      </c>
      <c r="T2568" t="b">
        <v>0</v>
      </c>
    </row>
    <row r="2569" spans="1:20" x14ac:dyDescent="0.25">
      <c r="A2569" t="s">
        <v>66</v>
      </c>
      <c r="B2569">
        <v>59</v>
      </c>
      <c r="C2569">
        <v>408</v>
      </c>
      <c r="D2569" t="s">
        <v>29</v>
      </c>
      <c r="E2569" t="s">
        <v>30</v>
      </c>
      <c r="F2569">
        <v>32</v>
      </c>
      <c r="G2569">
        <v>211.9</v>
      </c>
      <c r="H2569">
        <v>120</v>
      </c>
      <c r="I2569">
        <v>36.020000000000003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8.8000000000000007</v>
      </c>
      <c r="Q2569">
        <v>5</v>
      </c>
      <c r="R2569">
        <v>2.38</v>
      </c>
      <c r="S2569">
        <v>1</v>
      </c>
      <c r="T2569" t="b">
        <v>0</v>
      </c>
    </row>
    <row r="2570" spans="1:20" x14ac:dyDescent="0.25">
      <c r="A2570" t="s">
        <v>65</v>
      </c>
      <c r="B2570">
        <v>143</v>
      </c>
      <c r="C2570">
        <v>510</v>
      </c>
      <c r="D2570" t="s">
        <v>29</v>
      </c>
      <c r="E2570" t="s">
        <v>29</v>
      </c>
      <c r="F2570">
        <v>0</v>
      </c>
      <c r="G2570">
        <v>160.4</v>
      </c>
      <c r="H2570">
        <v>120</v>
      </c>
      <c r="I2570">
        <v>27.27</v>
      </c>
      <c r="J2570">
        <v>285.89999999999998</v>
      </c>
      <c r="K2570">
        <v>104</v>
      </c>
      <c r="L2570">
        <v>24.3</v>
      </c>
      <c r="M2570">
        <v>182.5</v>
      </c>
      <c r="N2570">
        <v>85</v>
      </c>
      <c r="O2570">
        <v>8.2100000000000009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 x14ac:dyDescent="0.25">
      <c r="A2571" t="s">
        <v>73</v>
      </c>
      <c r="B2571">
        <v>111</v>
      </c>
      <c r="C2571">
        <v>408</v>
      </c>
      <c r="D2571" t="s">
        <v>29</v>
      </c>
      <c r="E2571" t="s">
        <v>29</v>
      </c>
      <c r="F2571">
        <v>0</v>
      </c>
      <c r="G2571">
        <v>294.7</v>
      </c>
      <c r="H2571">
        <v>90</v>
      </c>
      <c r="I2571">
        <v>50.1</v>
      </c>
      <c r="J2571">
        <v>294.60000000000002</v>
      </c>
      <c r="K2571">
        <v>72</v>
      </c>
      <c r="L2571">
        <v>25.04</v>
      </c>
      <c r="M2571">
        <v>260.10000000000002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 x14ac:dyDescent="0.25">
      <c r="A2572" t="s">
        <v>65</v>
      </c>
      <c r="B2572">
        <v>143</v>
      </c>
      <c r="C2572">
        <v>510</v>
      </c>
      <c r="D2572" t="s">
        <v>29</v>
      </c>
      <c r="E2572" t="s">
        <v>29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8.1199999999999992</v>
      </c>
      <c r="P2572">
        <v>10.199999999999999</v>
      </c>
      <c r="Q2572">
        <v>13</v>
      </c>
      <c r="R2572">
        <v>2.75</v>
      </c>
      <c r="S2572">
        <v>1</v>
      </c>
      <c r="T2572" t="b">
        <v>0</v>
      </c>
    </row>
    <row r="2573" spans="1:20" x14ac:dyDescent="0.25">
      <c r="A2573" t="s">
        <v>31</v>
      </c>
      <c r="B2573">
        <v>68</v>
      </c>
      <c r="C2573">
        <v>415</v>
      </c>
      <c r="D2573" t="s">
        <v>30</v>
      </c>
      <c r="E2573" t="s">
        <v>30</v>
      </c>
      <c r="F2573">
        <v>24</v>
      </c>
      <c r="G2573">
        <v>125.7</v>
      </c>
      <c r="H2573">
        <v>92</v>
      </c>
      <c r="I2573">
        <v>21.37</v>
      </c>
      <c r="J2573">
        <v>275.89999999999998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 x14ac:dyDescent="0.25">
      <c r="A2574" t="s">
        <v>76</v>
      </c>
      <c r="B2574">
        <v>93</v>
      </c>
      <c r="C2574">
        <v>510</v>
      </c>
      <c r="D2574" t="s">
        <v>30</v>
      </c>
      <c r="E2574" t="s">
        <v>29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 x14ac:dyDescent="0.25">
      <c r="A2575" t="s">
        <v>41</v>
      </c>
      <c r="B2575">
        <v>103</v>
      </c>
      <c r="C2575">
        <v>415</v>
      </c>
      <c r="D2575" t="s">
        <v>29</v>
      </c>
      <c r="E2575" t="s">
        <v>29</v>
      </c>
      <c r="F2575">
        <v>0</v>
      </c>
      <c r="G2575">
        <v>70.900000000000006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 x14ac:dyDescent="0.25">
      <c r="A2576" t="s">
        <v>37</v>
      </c>
      <c r="B2576">
        <v>144</v>
      </c>
      <c r="C2576">
        <v>510</v>
      </c>
      <c r="D2576" t="s">
        <v>29</v>
      </c>
      <c r="E2576" t="s">
        <v>30</v>
      </c>
      <c r="F2576">
        <v>38</v>
      </c>
      <c r="G2576">
        <v>105</v>
      </c>
      <c r="H2576">
        <v>86</v>
      </c>
      <c r="I2576">
        <v>17.850000000000001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9.9700000000000006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 x14ac:dyDescent="0.25">
      <c r="A2577" t="s">
        <v>57</v>
      </c>
      <c r="B2577">
        <v>93</v>
      </c>
      <c r="C2577">
        <v>415</v>
      </c>
      <c r="D2577" t="s">
        <v>29</v>
      </c>
      <c r="E2577" t="s">
        <v>29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262.39999999999998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 x14ac:dyDescent="0.25">
      <c r="A2578" t="s">
        <v>33</v>
      </c>
      <c r="B2578">
        <v>149</v>
      </c>
      <c r="C2578">
        <v>510</v>
      </c>
      <c r="D2578" t="s">
        <v>30</v>
      </c>
      <c r="E2578" t="s">
        <v>29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8.8000000000000007</v>
      </c>
      <c r="Q2578">
        <v>9</v>
      </c>
      <c r="R2578">
        <v>2.38</v>
      </c>
      <c r="S2578">
        <v>3</v>
      </c>
      <c r="T2578" t="b">
        <v>0</v>
      </c>
    </row>
    <row r="2579" spans="1:20" x14ac:dyDescent="0.25">
      <c r="A2579" t="s">
        <v>37</v>
      </c>
      <c r="B2579">
        <v>23</v>
      </c>
      <c r="C2579">
        <v>510</v>
      </c>
      <c r="D2579" t="s">
        <v>29</v>
      </c>
      <c r="E2579" t="s">
        <v>30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294.60000000000002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 x14ac:dyDescent="0.25">
      <c r="A2580" t="s">
        <v>63</v>
      </c>
      <c r="B2580">
        <v>221</v>
      </c>
      <c r="C2580">
        <v>510</v>
      </c>
      <c r="D2580" t="s">
        <v>29</v>
      </c>
      <c r="E2580" t="s">
        <v>30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 x14ac:dyDescent="0.25">
      <c r="A2581" t="s">
        <v>28</v>
      </c>
      <c r="B2581">
        <v>164</v>
      </c>
      <c r="C2581">
        <v>510</v>
      </c>
      <c r="D2581" t="s">
        <v>29</v>
      </c>
      <c r="E2581" t="s">
        <v>30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9.2799999999999994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 x14ac:dyDescent="0.25">
      <c r="A2582" t="s">
        <v>64</v>
      </c>
      <c r="B2582">
        <v>104</v>
      </c>
      <c r="C2582">
        <v>415</v>
      </c>
      <c r="D2582" t="s">
        <v>29</v>
      </c>
      <c r="E2582" t="s">
        <v>30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 x14ac:dyDescent="0.25">
      <c r="A2583" t="s">
        <v>70</v>
      </c>
      <c r="B2583">
        <v>150</v>
      </c>
      <c r="C2583">
        <v>415</v>
      </c>
      <c r="D2583" t="s">
        <v>29</v>
      </c>
      <c r="E2583" t="s">
        <v>30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9.6199999999999992</v>
      </c>
      <c r="P2583">
        <v>8.8000000000000007</v>
      </c>
      <c r="Q2583">
        <v>2</v>
      </c>
      <c r="R2583">
        <v>2.38</v>
      </c>
      <c r="S2583">
        <v>2</v>
      </c>
      <c r="T2583" t="b">
        <v>0</v>
      </c>
    </row>
    <row r="2584" spans="1:20" x14ac:dyDescent="0.25">
      <c r="A2584" t="s">
        <v>57</v>
      </c>
      <c r="B2584">
        <v>184</v>
      </c>
      <c r="C2584">
        <v>408</v>
      </c>
      <c r="D2584" t="s">
        <v>29</v>
      </c>
      <c r="E2584" t="s">
        <v>30</v>
      </c>
      <c r="F2584">
        <v>12</v>
      </c>
      <c r="G2584">
        <v>200.3</v>
      </c>
      <c r="H2584">
        <v>76</v>
      </c>
      <c r="I2584">
        <v>34.049999999999997</v>
      </c>
      <c r="J2584">
        <v>253.6</v>
      </c>
      <c r="K2584">
        <v>105</v>
      </c>
      <c r="L2584">
        <v>21.56</v>
      </c>
      <c r="M2584">
        <v>149.30000000000001</v>
      </c>
      <c r="N2584">
        <v>93</v>
      </c>
      <c r="O2584">
        <v>6.72</v>
      </c>
      <c r="P2584">
        <v>10.199999999999999</v>
      </c>
      <c r="Q2584">
        <v>5</v>
      </c>
      <c r="R2584">
        <v>2.75</v>
      </c>
      <c r="S2584">
        <v>0</v>
      </c>
      <c r="T2584" t="b">
        <v>0</v>
      </c>
    </row>
    <row r="2585" spans="1:20" x14ac:dyDescent="0.25">
      <c r="A2585" t="s">
        <v>61</v>
      </c>
      <c r="B2585">
        <v>61</v>
      </c>
      <c r="C2585">
        <v>415</v>
      </c>
      <c r="D2585" t="s">
        <v>30</v>
      </c>
      <c r="E2585" t="s">
        <v>30</v>
      </c>
      <c r="F2585">
        <v>29</v>
      </c>
      <c r="G2585">
        <v>128.19999999999999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 x14ac:dyDescent="0.25">
      <c r="A2586" t="s">
        <v>60</v>
      </c>
      <c r="B2586">
        <v>115</v>
      </c>
      <c r="C2586">
        <v>415</v>
      </c>
      <c r="D2586" t="s">
        <v>29</v>
      </c>
      <c r="E2586" t="s">
        <v>29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 x14ac:dyDescent="0.25">
      <c r="A2587" t="s">
        <v>56</v>
      </c>
      <c r="B2587">
        <v>33</v>
      </c>
      <c r="C2587">
        <v>408</v>
      </c>
      <c r="D2587" t="s">
        <v>29</v>
      </c>
      <c r="E2587" t="s">
        <v>29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 x14ac:dyDescent="0.25">
      <c r="A2588" t="s">
        <v>72</v>
      </c>
      <c r="B2588">
        <v>100</v>
      </c>
      <c r="C2588">
        <v>510</v>
      </c>
      <c r="D2588" t="s">
        <v>29</v>
      </c>
      <c r="E2588" t="s">
        <v>29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16.489999999999998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2.0299999999999998</v>
      </c>
      <c r="S2588">
        <v>2</v>
      </c>
      <c r="T2588" t="b">
        <v>1</v>
      </c>
    </row>
    <row r="2589" spans="1:20" x14ac:dyDescent="0.25">
      <c r="A2589" t="s">
        <v>59</v>
      </c>
      <c r="B2589">
        <v>75</v>
      </c>
      <c r="C2589">
        <v>510</v>
      </c>
      <c r="D2589" t="s">
        <v>29</v>
      </c>
      <c r="E2589" t="s">
        <v>30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 x14ac:dyDescent="0.25">
      <c r="A2590" t="s">
        <v>54</v>
      </c>
      <c r="B2590">
        <v>121</v>
      </c>
      <c r="C2590">
        <v>408</v>
      </c>
      <c r="D2590" t="s">
        <v>29</v>
      </c>
      <c r="E2590" t="s">
        <v>30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18.440000000000001</v>
      </c>
      <c r="M2590">
        <v>112.4</v>
      </c>
      <c r="N2590">
        <v>125</v>
      </c>
      <c r="O2590">
        <v>5.0599999999999996</v>
      </c>
      <c r="P2590">
        <v>7.5</v>
      </c>
      <c r="Q2590">
        <v>8</v>
      </c>
      <c r="R2590">
        <v>2.0299999999999998</v>
      </c>
      <c r="S2590">
        <v>0</v>
      </c>
      <c r="T2590" t="b">
        <v>0</v>
      </c>
    </row>
    <row r="2591" spans="1:20" x14ac:dyDescent="0.25">
      <c r="A2591" t="s">
        <v>74</v>
      </c>
      <c r="B2591">
        <v>142</v>
      </c>
      <c r="C2591">
        <v>415</v>
      </c>
      <c r="D2591" t="s">
        <v>30</v>
      </c>
      <c r="E2591" t="s">
        <v>29</v>
      </c>
      <c r="F2591">
        <v>0</v>
      </c>
      <c r="G2591">
        <v>140.80000000000001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 x14ac:dyDescent="0.25">
      <c r="A2592" t="s">
        <v>65</v>
      </c>
      <c r="B2592">
        <v>121</v>
      </c>
      <c r="C2592">
        <v>510</v>
      </c>
      <c r="D2592" t="s">
        <v>29</v>
      </c>
      <c r="E2592" t="s">
        <v>29</v>
      </c>
      <c r="F2592">
        <v>0</v>
      </c>
      <c r="G2592">
        <v>255.1</v>
      </c>
      <c r="H2592">
        <v>93</v>
      </c>
      <c r="I2592">
        <v>43.37</v>
      </c>
      <c r="J2592">
        <v>266.89999999999998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8.8000000000000007</v>
      </c>
      <c r="Q2592">
        <v>3</v>
      </c>
      <c r="R2592">
        <v>2.38</v>
      </c>
      <c r="S2592">
        <v>3</v>
      </c>
      <c r="T2592" t="b">
        <v>1</v>
      </c>
    </row>
    <row r="2593" spans="1:20" x14ac:dyDescent="0.25">
      <c r="A2593" t="s">
        <v>63</v>
      </c>
      <c r="B2593">
        <v>87</v>
      </c>
      <c r="C2593">
        <v>415</v>
      </c>
      <c r="D2593" t="s">
        <v>29</v>
      </c>
      <c r="E2593" t="s">
        <v>30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10.199999999999999</v>
      </c>
      <c r="Q2593">
        <v>7</v>
      </c>
      <c r="R2593">
        <v>2.75</v>
      </c>
      <c r="S2593">
        <v>2</v>
      </c>
      <c r="T2593" t="b">
        <v>0</v>
      </c>
    </row>
    <row r="2594" spans="1:20" x14ac:dyDescent="0.25">
      <c r="A2594" t="s">
        <v>63</v>
      </c>
      <c r="B2594">
        <v>34</v>
      </c>
      <c r="C2594">
        <v>408</v>
      </c>
      <c r="D2594" t="s">
        <v>29</v>
      </c>
      <c r="E2594" t="s">
        <v>29</v>
      </c>
      <c r="F2594">
        <v>0</v>
      </c>
      <c r="G2594">
        <v>180.6</v>
      </c>
      <c r="H2594">
        <v>65</v>
      </c>
      <c r="I2594">
        <v>30.7</v>
      </c>
      <c r="J2594">
        <v>280.39999999999998</v>
      </c>
      <c r="K2594">
        <v>99</v>
      </c>
      <c r="L2594">
        <v>23.83</v>
      </c>
      <c r="M2594">
        <v>292.39999999999998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 x14ac:dyDescent="0.25">
      <c r="A2595" t="s">
        <v>54</v>
      </c>
      <c r="B2595">
        <v>177</v>
      </c>
      <c r="C2595">
        <v>415</v>
      </c>
      <c r="D2595" t="s">
        <v>30</v>
      </c>
      <c r="E2595" t="s">
        <v>29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 x14ac:dyDescent="0.25">
      <c r="A2596" t="s">
        <v>35</v>
      </c>
      <c r="B2596">
        <v>58</v>
      </c>
      <c r="C2596">
        <v>415</v>
      </c>
      <c r="D2596" t="s">
        <v>29</v>
      </c>
      <c r="E2596" t="s">
        <v>30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 x14ac:dyDescent="0.25">
      <c r="A2597" t="s">
        <v>56</v>
      </c>
      <c r="B2597">
        <v>113</v>
      </c>
      <c r="C2597">
        <v>415</v>
      </c>
      <c r="D2597" t="s">
        <v>30</v>
      </c>
      <c r="E2597" t="s">
        <v>29</v>
      </c>
      <c r="F2597">
        <v>0</v>
      </c>
      <c r="G2597">
        <v>122.2</v>
      </c>
      <c r="H2597">
        <v>112</v>
      </c>
      <c r="I2597">
        <v>20.77</v>
      </c>
      <c r="J2597">
        <v>131.69999999999999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 x14ac:dyDescent="0.25">
      <c r="A2598" t="s">
        <v>58</v>
      </c>
      <c r="B2598">
        <v>89</v>
      </c>
      <c r="C2598">
        <v>415</v>
      </c>
      <c r="D2598" t="s">
        <v>29</v>
      </c>
      <c r="E2598" t="s">
        <v>29</v>
      </c>
      <c r="F2598">
        <v>0</v>
      </c>
      <c r="G2598">
        <v>111.2</v>
      </c>
      <c r="H2598">
        <v>101</v>
      </c>
      <c r="I2598">
        <v>18.899999999999999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 x14ac:dyDescent="0.25">
      <c r="A2599" t="s">
        <v>64</v>
      </c>
      <c r="B2599">
        <v>77</v>
      </c>
      <c r="C2599">
        <v>408</v>
      </c>
      <c r="D2599" t="s">
        <v>30</v>
      </c>
      <c r="E2599" t="s">
        <v>30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 x14ac:dyDescent="0.25">
      <c r="A2600" t="s">
        <v>33</v>
      </c>
      <c r="B2600">
        <v>146</v>
      </c>
      <c r="C2600">
        <v>510</v>
      </c>
      <c r="D2600" t="s">
        <v>29</v>
      </c>
      <c r="E2600" t="s">
        <v>29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 x14ac:dyDescent="0.25">
      <c r="A2601" t="s">
        <v>32</v>
      </c>
      <c r="B2601">
        <v>93</v>
      </c>
      <c r="C2601">
        <v>415</v>
      </c>
      <c r="D2601" t="s">
        <v>29</v>
      </c>
      <c r="E2601" t="s">
        <v>29</v>
      </c>
      <c r="F2601">
        <v>0</v>
      </c>
      <c r="G2601">
        <v>146.30000000000001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 x14ac:dyDescent="0.25">
      <c r="A2602" t="s">
        <v>31</v>
      </c>
      <c r="B2602">
        <v>160</v>
      </c>
      <c r="C2602">
        <v>415</v>
      </c>
      <c r="D2602" t="s">
        <v>29</v>
      </c>
      <c r="E2602" t="s">
        <v>29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 x14ac:dyDescent="0.25">
      <c r="A2603" t="s">
        <v>67</v>
      </c>
      <c r="B2603">
        <v>55</v>
      </c>
      <c r="C2603">
        <v>415</v>
      </c>
      <c r="D2603" t="s">
        <v>29</v>
      </c>
      <c r="E2603" t="s">
        <v>29</v>
      </c>
      <c r="F2603">
        <v>0</v>
      </c>
      <c r="G2603">
        <v>132</v>
      </c>
      <c r="H2603">
        <v>103</v>
      </c>
      <c r="I2603">
        <v>22.44</v>
      </c>
      <c r="J2603">
        <v>279.60000000000002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 x14ac:dyDescent="0.25">
      <c r="A2604" t="s">
        <v>31</v>
      </c>
      <c r="B2604">
        <v>88</v>
      </c>
      <c r="C2604">
        <v>408</v>
      </c>
      <c r="D2604" t="s">
        <v>29</v>
      </c>
      <c r="E2604" t="s">
        <v>29</v>
      </c>
      <c r="F2604">
        <v>0</v>
      </c>
      <c r="G2604">
        <v>274.60000000000002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9.1999999999999993</v>
      </c>
      <c r="Q2604">
        <v>4</v>
      </c>
      <c r="R2604">
        <v>2.48</v>
      </c>
      <c r="S2604">
        <v>2</v>
      </c>
      <c r="T2604" t="b">
        <v>0</v>
      </c>
    </row>
    <row r="2605" spans="1:20" x14ac:dyDescent="0.25">
      <c r="A2605" t="s">
        <v>74</v>
      </c>
      <c r="B2605">
        <v>63</v>
      </c>
      <c r="C2605">
        <v>510</v>
      </c>
      <c r="D2605" t="s">
        <v>29</v>
      </c>
      <c r="E2605" t="s">
        <v>29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19.149999999999999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 x14ac:dyDescent="0.25">
      <c r="A2606" t="s">
        <v>50</v>
      </c>
      <c r="B2606">
        <v>57</v>
      </c>
      <c r="C2606">
        <v>415</v>
      </c>
      <c r="D2606" t="s">
        <v>29</v>
      </c>
      <c r="E2606" t="s">
        <v>30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 x14ac:dyDescent="0.25">
      <c r="A2607" t="s">
        <v>38</v>
      </c>
      <c r="B2607">
        <v>138</v>
      </c>
      <c r="C2607">
        <v>510</v>
      </c>
      <c r="D2607" t="s">
        <v>30</v>
      </c>
      <c r="E2607" t="s">
        <v>29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146.19999999999999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 x14ac:dyDescent="0.25">
      <c r="A2608" t="s">
        <v>56</v>
      </c>
      <c r="B2608">
        <v>115</v>
      </c>
      <c r="C2608">
        <v>408</v>
      </c>
      <c r="D2608" t="s">
        <v>29</v>
      </c>
      <c r="E2608" t="s">
        <v>29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 x14ac:dyDescent="0.25">
      <c r="A2609" t="s">
        <v>70</v>
      </c>
      <c r="B2609">
        <v>171</v>
      </c>
      <c r="C2609">
        <v>415</v>
      </c>
      <c r="D2609" t="s">
        <v>29</v>
      </c>
      <c r="E2609" t="s">
        <v>29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 x14ac:dyDescent="0.25">
      <c r="A2610" t="s">
        <v>64</v>
      </c>
      <c r="B2610">
        <v>127</v>
      </c>
      <c r="C2610">
        <v>510</v>
      </c>
      <c r="D2610" t="s">
        <v>29</v>
      </c>
      <c r="E2610" t="s">
        <v>29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18.829999999999998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 x14ac:dyDescent="0.25">
      <c r="A2611" t="s">
        <v>58</v>
      </c>
      <c r="B2611">
        <v>61</v>
      </c>
      <c r="C2611">
        <v>415</v>
      </c>
      <c r="D2611" t="s">
        <v>29</v>
      </c>
      <c r="E2611" t="s">
        <v>29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18.420000000000002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 x14ac:dyDescent="0.25">
      <c r="A2612" t="s">
        <v>42</v>
      </c>
      <c r="B2612">
        <v>131</v>
      </c>
      <c r="C2612">
        <v>415</v>
      </c>
      <c r="D2612" t="s">
        <v>29</v>
      </c>
      <c r="E2612" t="s">
        <v>29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 x14ac:dyDescent="0.25">
      <c r="A2613" t="s">
        <v>63</v>
      </c>
      <c r="B2613">
        <v>88</v>
      </c>
      <c r="C2613">
        <v>408</v>
      </c>
      <c r="D2613" t="s">
        <v>29</v>
      </c>
      <c r="E2613" t="s">
        <v>29</v>
      </c>
      <c r="F2613">
        <v>0</v>
      </c>
      <c r="G2613">
        <v>142.19999999999999</v>
      </c>
      <c r="H2613">
        <v>107</v>
      </c>
      <c r="I2613">
        <v>24.17</v>
      </c>
      <c r="J2613">
        <v>262.39999999999998</v>
      </c>
      <c r="K2613">
        <v>84</v>
      </c>
      <c r="L2613">
        <v>22.3</v>
      </c>
      <c r="M2613">
        <v>139.19999999999999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 x14ac:dyDescent="0.25">
      <c r="A2614" t="s">
        <v>69</v>
      </c>
      <c r="B2614">
        <v>130</v>
      </c>
      <c r="C2614">
        <v>510</v>
      </c>
      <c r="D2614" t="s">
        <v>29</v>
      </c>
      <c r="E2614" t="s">
        <v>29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 x14ac:dyDescent="0.25">
      <c r="A2615" t="s">
        <v>38</v>
      </c>
      <c r="B2615">
        <v>89</v>
      </c>
      <c r="C2615">
        <v>415</v>
      </c>
      <c r="D2615" t="s">
        <v>29</v>
      </c>
      <c r="E2615" t="s">
        <v>30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 x14ac:dyDescent="0.25">
      <c r="A2616" t="s">
        <v>41</v>
      </c>
      <c r="B2616">
        <v>82</v>
      </c>
      <c r="C2616">
        <v>415</v>
      </c>
      <c r="D2616" t="s">
        <v>29</v>
      </c>
      <c r="E2616" t="s">
        <v>29</v>
      </c>
      <c r="F2616">
        <v>0</v>
      </c>
      <c r="G2616">
        <v>266.89999999999998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 x14ac:dyDescent="0.25">
      <c r="A2617" t="s">
        <v>66</v>
      </c>
      <c r="B2617">
        <v>115</v>
      </c>
      <c r="C2617">
        <v>415</v>
      </c>
      <c r="D2617" t="s">
        <v>29</v>
      </c>
      <c r="E2617" t="s">
        <v>29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8.8000000000000007</v>
      </c>
      <c r="Q2617">
        <v>3</v>
      </c>
      <c r="R2617">
        <v>2.38</v>
      </c>
      <c r="S2617">
        <v>1</v>
      </c>
      <c r="T2617" t="b">
        <v>0</v>
      </c>
    </row>
    <row r="2618" spans="1:20" x14ac:dyDescent="0.25">
      <c r="A2618" t="s">
        <v>37</v>
      </c>
      <c r="B2618">
        <v>117</v>
      </c>
      <c r="C2618">
        <v>510</v>
      </c>
      <c r="D2618" t="s">
        <v>30</v>
      </c>
      <c r="E2618" t="s">
        <v>29</v>
      </c>
      <c r="F2618">
        <v>0</v>
      </c>
      <c r="G2618">
        <v>198.4</v>
      </c>
      <c r="H2618">
        <v>121</v>
      </c>
      <c r="I2618">
        <v>33.729999999999997</v>
      </c>
      <c r="J2618">
        <v>249.5</v>
      </c>
      <c r="K2618">
        <v>104</v>
      </c>
      <c r="L2618">
        <v>21.21</v>
      </c>
      <c r="M2618">
        <v>162.80000000000001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 x14ac:dyDescent="0.25">
      <c r="A2619" t="s">
        <v>51</v>
      </c>
      <c r="B2619">
        <v>60</v>
      </c>
      <c r="C2619">
        <v>415</v>
      </c>
      <c r="D2619" t="s">
        <v>29</v>
      </c>
      <c r="E2619" t="s">
        <v>29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 x14ac:dyDescent="0.25">
      <c r="A2620" t="s">
        <v>57</v>
      </c>
      <c r="B2620">
        <v>62</v>
      </c>
      <c r="C2620">
        <v>415</v>
      </c>
      <c r="D2620" t="s">
        <v>29</v>
      </c>
      <c r="E2620" t="s">
        <v>29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 x14ac:dyDescent="0.25">
      <c r="A2621" t="s">
        <v>60</v>
      </c>
      <c r="B2621">
        <v>131</v>
      </c>
      <c r="C2621">
        <v>408</v>
      </c>
      <c r="D2621" t="s">
        <v>29</v>
      </c>
      <c r="E2621" t="s">
        <v>29</v>
      </c>
      <c r="F2621">
        <v>0</v>
      </c>
      <c r="G2621">
        <v>240.9</v>
      </c>
      <c r="H2621">
        <v>108</v>
      </c>
      <c r="I2621">
        <v>40.950000000000003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 x14ac:dyDescent="0.25">
      <c r="A2622" t="s">
        <v>60</v>
      </c>
      <c r="B2622">
        <v>65</v>
      </c>
      <c r="C2622">
        <v>408</v>
      </c>
      <c r="D2622" t="s">
        <v>29</v>
      </c>
      <c r="E2622" t="s">
        <v>29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18.489999999999998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 x14ac:dyDescent="0.25">
      <c r="A2623" t="s">
        <v>58</v>
      </c>
      <c r="B2623">
        <v>142</v>
      </c>
      <c r="C2623">
        <v>510</v>
      </c>
      <c r="D2623" t="s">
        <v>29</v>
      </c>
      <c r="E2623" t="s">
        <v>30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8.8000000000000007</v>
      </c>
      <c r="Q2623">
        <v>2</v>
      </c>
      <c r="R2623">
        <v>2.38</v>
      </c>
      <c r="S2623">
        <v>1</v>
      </c>
      <c r="T2623" t="b">
        <v>0</v>
      </c>
    </row>
    <row r="2624" spans="1:20" x14ac:dyDescent="0.25">
      <c r="A2624" t="s">
        <v>33</v>
      </c>
      <c r="B2624">
        <v>134</v>
      </c>
      <c r="C2624">
        <v>415</v>
      </c>
      <c r="D2624" t="s">
        <v>29</v>
      </c>
      <c r="E2624" t="s">
        <v>29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 x14ac:dyDescent="0.25">
      <c r="A2625" t="s">
        <v>32</v>
      </c>
      <c r="B2625">
        <v>139</v>
      </c>
      <c r="C2625">
        <v>415</v>
      </c>
      <c r="D2625" t="s">
        <v>29</v>
      </c>
      <c r="E2625" t="s">
        <v>30</v>
      </c>
      <c r="F2625">
        <v>43</v>
      </c>
      <c r="G2625">
        <v>231</v>
      </c>
      <c r="H2625">
        <v>85</v>
      </c>
      <c r="I2625">
        <v>39.270000000000003</v>
      </c>
      <c r="J2625">
        <v>222.3</v>
      </c>
      <c r="K2625">
        <v>82</v>
      </c>
      <c r="L2625">
        <v>18.899999999999999</v>
      </c>
      <c r="M2625">
        <v>148</v>
      </c>
      <c r="N2625">
        <v>105</v>
      </c>
      <c r="O2625">
        <v>6.66</v>
      </c>
      <c r="P2625">
        <v>8.3000000000000007</v>
      </c>
      <c r="Q2625">
        <v>5</v>
      </c>
      <c r="R2625">
        <v>2.2400000000000002</v>
      </c>
      <c r="S2625">
        <v>2</v>
      </c>
      <c r="T2625" t="b">
        <v>0</v>
      </c>
    </row>
    <row r="2626" spans="1:20" x14ac:dyDescent="0.25">
      <c r="A2626" t="s">
        <v>56</v>
      </c>
      <c r="B2626">
        <v>76</v>
      </c>
      <c r="C2626">
        <v>408</v>
      </c>
      <c r="D2626" t="s">
        <v>29</v>
      </c>
      <c r="E2626" t="s">
        <v>29</v>
      </c>
      <c r="F2626">
        <v>0</v>
      </c>
      <c r="G2626">
        <v>107.3</v>
      </c>
      <c r="H2626">
        <v>140</v>
      </c>
      <c r="I2626">
        <v>18.239999999999998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 x14ac:dyDescent="0.25">
      <c r="A2627" t="s">
        <v>61</v>
      </c>
      <c r="B2627">
        <v>100</v>
      </c>
      <c r="C2627">
        <v>408</v>
      </c>
      <c r="D2627" t="s">
        <v>29</v>
      </c>
      <c r="E2627" t="s">
        <v>29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274.89999999999998</v>
      </c>
      <c r="N2627">
        <v>92</v>
      </c>
      <c r="O2627">
        <v>12.37</v>
      </c>
      <c r="P2627">
        <v>5.0999999999999996</v>
      </c>
      <c r="Q2627">
        <v>8</v>
      </c>
      <c r="R2627">
        <v>1.38</v>
      </c>
      <c r="S2627">
        <v>1</v>
      </c>
      <c r="T2627" t="b">
        <v>0</v>
      </c>
    </row>
    <row r="2628" spans="1:20" x14ac:dyDescent="0.25">
      <c r="A2628" t="s">
        <v>69</v>
      </c>
      <c r="B2628">
        <v>99</v>
      </c>
      <c r="C2628">
        <v>415</v>
      </c>
      <c r="D2628" t="s">
        <v>29</v>
      </c>
      <c r="E2628" t="s">
        <v>30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 x14ac:dyDescent="0.25">
      <c r="A2629" t="s">
        <v>31</v>
      </c>
      <c r="B2629">
        <v>106</v>
      </c>
      <c r="C2629">
        <v>415</v>
      </c>
      <c r="D2629" t="s">
        <v>29</v>
      </c>
      <c r="E2629" t="s">
        <v>30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 x14ac:dyDescent="0.25">
      <c r="A2630" t="s">
        <v>28</v>
      </c>
      <c r="B2630">
        <v>170</v>
      </c>
      <c r="C2630">
        <v>415</v>
      </c>
      <c r="D2630" t="s">
        <v>29</v>
      </c>
      <c r="E2630" t="s">
        <v>30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 x14ac:dyDescent="0.25">
      <c r="A2631" t="s">
        <v>75</v>
      </c>
      <c r="B2631">
        <v>78</v>
      </c>
      <c r="C2631">
        <v>415</v>
      </c>
      <c r="D2631" t="s">
        <v>29</v>
      </c>
      <c r="E2631" t="s">
        <v>29</v>
      </c>
      <c r="F2631">
        <v>0</v>
      </c>
      <c r="G2631">
        <v>109.5</v>
      </c>
      <c r="H2631">
        <v>105</v>
      </c>
      <c r="I2631">
        <v>18.62</v>
      </c>
      <c r="J2631">
        <v>286.10000000000002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4.9000000000000004</v>
      </c>
      <c r="Q2631">
        <v>9</v>
      </c>
      <c r="R2631">
        <v>1.32</v>
      </c>
      <c r="S2631">
        <v>1</v>
      </c>
      <c r="T2631" t="b">
        <v>0</v>
      </c>
    </row>
    <row r="2632" spans="1:20" x14ac:dyDescent="0.25">
      <c r="A2632" t="s">
        <v>76</v>
      </c>
      <c r="B2632">
        <v>39</v>
      </c>
      <c r="C2632">
        <v>408</v>
      </c>
      <c r="D2632" t="s">
        <v>29</v>
      </c>
      <c r="E2632" t="s">
        <v>29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 x14ac:dyDescent="0.25">
      <c r="A2633" t="s">
        <v>74</v>
      </c>
      <c r="B2633">
        <v>119</v>
      </c>
      <c r="C2633">
        <v>510</v>
      </c>
      <c r="D2633" t="s">
        <v>30</v>
      </c>
      <c r="E2633" t="s">
        <v>30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19.010000000000002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 x14ac:dyDescent="0.25">
      <c r="A2634" t="s">
        <v>38</v>
      </c>
      <c r="B2634">
        <v>95</v>
      </c>
      <c r="C2634">
        <v>408</v>
      </c>
      <c r="D2634" t="s">
        <v>29</v>
      </c>
      <c r="E2634" t="s">
        <v>29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 x14ac:dyDescent="0.25">
      <c r="A2635" t="s">
        <v>36</v>
      </c>
      <c r="B2635">
        <v>116</v>
      </c>
      <c r="C2635">
        <v>408</v>
      </c>
      <c r="D2635" t="s">
        <v>29</v>
      </c>
      <c r="E2635" t="s">
        <v>29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 x14ac:dyDescent="0.25">
      <c r="A2636" t="s">
        <v>76</v>
      </c>
      <c r="B2636">
        <v>110</v>
      </c>
      <c r="C2636">
        <v>415</v>
      </c>
      <c r="D2636" t="s">
        <v>29</v>
      </c>
      <c r="E2636" t="s">
        <v>29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128.69999999999999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 x14ac:dyDescent="0.25">
      <c r="A2637" t="s">
        <v>80</v>
      </c>
      <c r="B2637">
        <v>74</v>
      </c>
      <c r="C2637">
        <v>510</v>
      </c>
      <c r="D2637" t="s">
        <v>29</v>
      </c>
      <c r="E2637" t="s">
        <v>29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2.4300000000000002</v>
      </c>
      <c r="S2637">
        <v>1</v>
      </c>
      <c r="T2637" t="b">
        <v>0</v>
      </c>
    </row>
    <row r="2638" spans="1:20" x14ac:dyDescent="0.25">
      <c r="A2638" t="s">
        <v>72</v>
      </c>
      <c r="B2638">
        <v>148</v>
      </c>
      <c r="C2638">
        <v>408</v>
      </c>
      <c r="D2638" t="s">
        <v>29</v>
      </c>
      <c r="E2638" t="s">
        <v>30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 x14ac:dyDescent="0.25">
      <c r="A2639" t="s">
        <v>55</v>
      </c>
      <c r="B2639">
        <v>83</v>
      </c>
      <c r="C2639">
        <v>510</v>
      </c>
      <c r="D2639" t="s">
        <v>29</v>
      </c>
      <c r="E2639" t="s">
        <v>29</v>
      </c>
      <c r="F2639">
        <v>0</v>
      </c>
      <c r="G2639">
        <v>78.099999999999994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 x14ac:dyDescent="0.25">
      <c r="A2640" t="s">
        <v>64</v>
      </c>
      <c r="B2640">
        <v>73</v>
      </c>
      <c r="C2640">
        <v>408</v>
      </c>
      <c r="D2640" t="s">
        <v>29</v>
      </c>
      <c r="E2640" t="s">
        <v>29</v>
      </c>
      <c r="F2640">
        <v>0</v>
      </c>
      <c r="G2640">
        <v>187.8</v>
      </c>
      <c r="H2640">
        <v>95</v>
      </c>
      <c r="I2640">
        <v>31.93</v>
      </c>
      <c r="J2640">
        <v>149.19999999999999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 x14ac:dyDescent="0.25">
      <c r="A2641" t="s">
        <v>75</v>
      </c>
      <c r="B2641">
        <v>111</v>
      </c>
      <c r="C2641">
        <v>415</v>
      </c>
      <c r="D2641" t="s">
        <v>29</v>
      </c>
      <c r="E2641" t="s">
        <v>30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 x14ac:dyDescent="0.25">
      <c r="A2642" t="s">
        <v>52</v>
      </c>
      <c r="B2642">
        <v>75</v>
      </c>
      <c r="C2642">
        <v>510</v>
      </c>
      <c r="D2642" t="s">
        <v>30</v>
      </c>
      <c r="E2642" t="s">
        <v>29</v>
      </c>
      <c r="F2642">
        <v>0</v>
      </c>
      <c r="G2642">
        <v>153.19999999999999</v>
      </c>
      <c r="H2642">
        <v>78</v>
      </c>
      <c r="I2642">
        <v>26.04</v>
      </c>
      <c r="J2642">
        <v>210.8</v>
      </c>
      <c r="K2642">
        <v>99</v>
      </c>
      <c r="L2642">
        <v>17.920000000000002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 x14ac:dyDescent="0.25">
      <c r="A2643" t="s">
        <v>50</v>
      </c>
      <c r="B2643">
        <v>71</v>
      </c>
      <c r="C2643">
        <v>510</v>
      </c>
      <c r="D2643" t="s">
        <v>30</v>
      </c>
      <c r="E2643" t="s">
        <v>29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9.2899999999999991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 x14ac:dyDescent="0.25">
      <c r="A2644" t="s">
        <v>60</v>
      </c>
      <c r="B2644">
        <v>58</v>
      </c>
      <c r="C2644">
        <v>415</v>
      </c>
      <c r="D2644" t="s">
        <v>29</v>
      </c>
      <c r="E2644" t="s">
        <v>30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 x14ac:dyDescent="0.25">
      <c r="A2645" t="s">
        <v>33</v>
      </c>
      <c r="B2645">
        <v>172</v>
      </c>
      <c r="C2645">
        <v>408</v>
      </c>
      <c r="D2645" t="s">
        <v>29</v>
      </c>
      <c r="E2645" t="s">
        <v>29</v>
      </c>
      <c r="F2645">
        <v>0</v>
      </c>
      <c r="G2645">
        <v>203.9</v>
      </c>
      <c r="H2645">
        <v>109</v>
      </c>
      <c r="I2645">
        <v>34.659999999999997</v>
      </c>
      <c r="J2645">
        <v>234</v>
      </c>
      <c r="K2645">
        <v>123</v>
      </c>
      <c r="L2645">
        <v>19.89</v>
      </c>
      <c r="M2645">
        <v>160.69999999999999</v>
      </c>
      <c r="N2645">
        <v>65</v>
      </c>
      <c r="O2645">
        <v>7.23</v>
      </c>
      <c r="P2645">
        <v>17.8</v>
      </c>
      <c r="Q2645">
        <v>4</v>
      </c>
      <c r="R2645">
        <v>4.8099999999999996</v>
      </c>
      <c r="S2645">
        <v>4</v>
      </c>
      <c r="T2645" t="b">
        <v>0</v>
      </c>
    </row>
    <row r="2646" spans="1:20" x14ac:dyDescent="0.25">
      <c r="A2646" t="s">
        <v>39</v>
      </c>
      <c r="B2646">
        <v>45</v>
      </c>
      <c r="C2646">
        <v>415</v>
      </c>
      <c r="D2646" t="s">
        <v>29</v>
      </c>
      <c r="E2646" t="s">
        <v>29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265.89999999999998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 x14ac:dyDescent="0.25">
      <c r="A2647" t="s">
        <v>42</v>
      </c>
      <c r="B2647">
        <v>100</v>
      </c>
      <c r="C2647">
        <v>408</v>
      </c>
      <c r="D2647" t="s">
        <v>30</v>
      </c>
      <c r="E2647" t="s">
        <v>29</v>
      </c>
      <c r="F2647">
        <v>0</v>
      </c>
      <c r="G2647">
        <v>219.4</v>
      </c>
      <c r="H2647">
        <v>112</v>
      </c>
      <c r="I2647">
        <v>37.299999999999997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 x14ac:dyDescent="0.25">
      <c r="A2648" t="s">
        <v>70</v>
      </c>
      <c r="B2648">
        <v>94</v>
      </c>
      <c r="C2648">
        <v>415</v>
      </c>
      <c r="D2648" t="s">
        <v>29</v>
      </c>
      <c r="E2648" t="s">
        <v>29</v>
      </c>
      <c r="F2648">
        <v>0</v>
      </c>
      <c r="G2648">
        <v>190.4</v>
      </c>
      <c r="H2648">
        <v>91</v>
      </c>
      <c r="I2648">
        <v>32.369999999999997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10.119999999999999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 x14ac:dyDescent="0.25">
      <c r="A2649" t="s">
        <v>52</v>
      </c>
      <c r="B2649">
        <v>128</v>
      </c>
      <c r="C2649">
        <v>415</v>
      </c>
      <c r="D2649" t="s">
        <v>29</v>
      </c>
      <c r="E2649" t="s">
        <v>29</v>
      </c>
      <c r="F2649">
        <v>0</v>
      </c>
      <c r="G2649">
        <v>147.69999999999999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8.4700000000000006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 x14ac:dyDescent="0.25">
      <c r="A2650" t="s">
        <v>75</v>
      </c>
      <c r="B2650">
        <v>181</v>
      </c>
      <c r="C2650">
        <v>408</v>
      </c>
      <c r="D2650" t="s">
        <v>29</v>
      </c>
      <c r="E2650" t="s">
        <v>29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262.39999999999998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 x14ac:dyDescent="0.25">
      <c r="A2651" t="s">
        <v>41</v>
      </c>
      <c r="B2651">
        <v>127</v>
      </c>
      <c r="C2651">
        <v>408</v>
      </c>
      <c r="D2651" t="s">
        <v>29</v>
      </c>
      <c r="E2651" t="s">
        <v>29</v>
      </c>
      <c r="F2651">
        <v>0</v>
      </c>
      <c r="G2651">
        <v>102.8</v>
      </c>
      <c r="H2651">
        <v>128</v>
      </c>
      <c r="I2651">
        <v>17.48</v>
      </c>
      <c r="J2651">
        <v>143.69999999999999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 x14ac:dyDescent="0.25">
      <c r="A2652" t="s">
        <v>36</v>
      </c>
      <c r="B2652">
        <v>89</v>
      </c>
      <c r="C2652">
        <v>415</v>
      </c>
      <c r="D2652" t="s">
        <v>29</v>
      </c>
      <c r="E2652" t="s">
        <v>29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 x14ac:dyDescent="0.25">
      <c r="A2653" t="s">
        <v>72</v>
      </c>
      <c r="B2653">
        <v>149</v>
      </c>
      <c r="C2653">
        <v>415</v>
      </c>
      <c r="D2653" t="s">
        <v>29</v>
      </c>
      <c r="E2653" t="s">
        <v>30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 x14ac:dyDescent="0.25">
      <c r="A2654" t="s">
        <v>73</v>
      </c>
      <c r="B2654">
        <v>103</v>
      </c>
      <c r="C2654">
        <v>510</v>
      </c>
      <c r="D2654" t="s">
        <v>29</v>
      </c>
      <c r="E2654" t="s">
        <v>30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 x14ac:dyDescent="0.25">
      <c r="A2655" t="s">
        <v>63</v>
      </c>
      <c r="B2655">
        <v>163</v>
      </c>
      <c r="C2655">
        <v>415</v>
      </c>
      <c r="D2655" t="s">
        <v>30</v>
      </c>
      <c r="E2655" t="s">
        <v>29</v>
      </c>
      <c r="F2655">
        <v>0</v>
      </c>
      <c r="G2655">
        <v>197.2</v>
      </c>
      <c r="H2655">
        <v>90</v>
      </c>
      <c r="I2655">
        <v>33.520000000000003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 x14ac:dyDescent="0.25">
      <c r="A2656" t="s">
        <v>33</v>
      </c>
      <c r="B2656">
        <v>52</v>
      </c>
      <c r="C2656">
        <v>415</v>
      </c>
      <c r="D2656" t="s">
        <v>29</v>
      </c>
      <c r="E2656" t="s">
        <v>29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 x14ac:dyDescent="0.25">
      <c r="A2657" t="s">
        <v>49</v>
      </c>
      <c r="B2657">
        <v>89</v>
      </c>
      <c r="C2657">
        <v>415</v>
      </c>
      <c r="D2657" t="s">
        <v>29</v>
      </c>
      <c r="E2657" t="s">
        <v>29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280.89999999999998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 x14ac:dyDescent="0.25">
      <c r="A2658" t="s">
        <v>53</v>
      </c>
      <c r="B2658">
        <v>122</v>
      </c>
      <c r="C2658">
        <v>510</v>
      </c>
      <c r="D2658" t="s">
        <v>30</v>
      </c>
      <c r="E2658" t="s">
        <v>29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16.690000000000001</v>
      </c>
      <c r="M2658">
        <v>120.1</v>
      </c>
      <c r="N2658">
        <v>133</v>
      </c>
      <c r="O2658">
        <v>5.4</v>
      </c>
      <c r="P2658">
        <v>9.6999999999999993</v>
      </c>
      <c r="Q2658">
        <v>4</v>
      </c>
      <c r="R2658">
        <v>2.62</v>
      </c>
      <c r="S2658">
        <v>4</v>
      </c>
      <c r="T2658" t="b">
        <v>1</v>
      </c>
    </row>
    <row r="2659" spans="1:20" x14ac:dyDescent="0.25">
      <c r="A2659" t="s">
        <v>55</v>
      </c>
      <c r="B2659">
        <v>62</v>
      </c>
      <c r="C2659">
        <v>408</v>
      </c>
      <c r="D2659" t="s">
        <v>29</v>
      </c>
      <c r="E2659" t="s">
        <v>29</v>
      </c>
      <c r="F2659">
        <v>0</v>
      </c>
      <c r="G2659">
        <v>321.10000000000002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8.1199999999999992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 x14ac:dyDescent="0.25">
      <c r="A2660" t="s">
        <v>60</v>
      </c>
      <c r="B2660">
        <v>117</v>
      </c>
      <c r="C2660">
        <v>415</v>
      </c>
      <c r="D2660" t="s">
        <v>29</v>
      </c>
      <c r="E2660" t="s">
        <v>29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10.220000000000001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 x14ac:dyDescent="0.25">
      <c r="A2661" t="s">
        <v>31</v>
      </c>
      <c r="B2661">
        <v>78</v>
      </c>
      <c r="C2661">
        <v>408</v>
      </c>
      <c r="D2661" t="s">
        <v>29</v>
      </c>
      <c r="E2661" t="s">
        <v>29</v>
      </c>
      <c r="F2661">
        <v>0</v>
      </c>
      <c r="G2661">
        <v>193.4</v>
      </c>
      <c r="H2661">
        <v>99</v>
      </c>
      <c r="I2661">
        <v>32.880000000000003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9.3000000000000007</v>
      </c>
      <c r="Q2661">
        <v>4</v>
      </c>
      <c r="R2661">
        <v>2.5099999999999998</v>
      </c>
      <c r="S2661">
        <v>2</v>
      </c>
      <c r="T2661" t="b">
        <v>0</v>
      </c>
    </row>
    <row r="2662" spans="1:20" x14ac:dyDescent="0.25">
      <c r="A2662" t="s">
        <v>31</v>
      </c>
      <c r="B2662">
        <v>96</v>
      </c>
      <c r="C2662">
        <v>415</v>
      </c>
      <c r="D2662" t="s">
        <v>29</v>
      </c>
      <c r="E2662" t="s">
        <v>29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8.0500000000000007</v>
      </c>
      <c r="P2662">
        <v>14.9</v>
      </c>
      <c r="Q2662">
        <v>7</v>
      </c>
      <c r="R2662">
        <v>4.0199999999999996</v>
      </c>
      <c r="S2662">
        <v>1</v>
      </c>
      <c r="T2662" t="b">
        <v>0</v>
      </c>
    </row>
    <row r="2663" spans="1:20" x14ac:dyDescent="0.25">
      <c r="A2663" t="s">
        <v>75</v>
      </c>
      <c r="B2663">
        <v>79</v>
      </c>
      <c r="C2663">
        <v>415</v>
      </c>
      <c r="D2663" t="s">
        <v>29</v>
      </c>
      <c r="E2663" t="s">
        <v>29</v>
      </c>
      <c r="F2663">
        <v>0</v>
      </c>
      <c r="G2663">
        <v>134.69999999999999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9.9600000000000009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 x14ac:dyDescent="0.25">
      <c r="A2664" t="s">
        <v>47</v>
      </c>
      <c r="B2664">
        <v>192</v>
      </c>
      <c r="C2664">
        <v>415</v>
      </c>
      <c r="D2664" t="s">
        <v>29</v>
      </c>
      <c r="E2664" t="s">
        <v>30</v>
      </c>
      <c r="F2664">
        <v>36</v>
      </c>
      <c r="G2664">
        <v>156.19999999999999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279.10000000000002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 x14ac:dyDescent="0.25">
      <c r="A2665" t="s">
        <v>37</v>
      </c>
      <c r="B2665">
        <v>68</v>
      </c>
      <c r="C2665">
        <v>415</v>
      </c>
      <c r="D2665" t="s">
        <v>29</v>
      </c>
      <c r="E2665" t="s">
        <v>29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 x14ac:dyDescent="0.25">
      <c r="A2666" t="s">
        <v>38</v>
      </c>
      <c r="B2666">
        <v>28</v>
      </c>
      <c r="C2666">
        <v>510</v>
      </c>
      <c r="D2666" t="s">
        <v>29</v>
      </c>
      <c r="E2666" t="s">
        <v>29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 x14ac:dyDescent="0.25">
      <c r="A2667" t="s">
        <v>76</v>
      </c>
      <c r="B2667">
        <v>74</v>
      </c>
      <c r="C2667">
        <v>415</v>
      </c>
      <c r="D2667" t="s">
        <v>29</v>
      </c>
      <c r="E2667" t="s">
        <v>30</v>
      </c>
      <c r="F2667">
        <v>25</v>
      </c>
      <c r="G2667">
        <v>234.4</v>
      </c>
      <c r="H2667">
        <v>113</v>
      </c>
      <c r="I2667">
        <v>39.85</v>
      </c>
      <c r="J2667">
        <v>265.89999999999998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B0EF-E94D-440F-8116-A38770920771}">
  <dimension ref="A2:F17"/>
  <sheetViews>
    <sheetView tabSelected="1" workbookViewId="0">
      <selection activeCell="G15" sqref="G15"/>
    </sheetView>
  </sheetViews>
  <sheetFormatPr defaultRowHeight="15" x14ac:dyDescent="0.25"/>
  <cols>
    <col min="1" max="1" width="23.42578125" bestFit="1" customWidth="1"/>
    <col min="2" max="2" width="12.28515625" style="2" bestFit="1" customWidth="1"/>
    <col min="3" max="3" width="12.85546875" style="2" bestFit="1" customWidth="1"/>
    <col min="4" max="4" width="13.140625" style="2" bestFit="1" customWidth="1"/>
    <col min="5" max="5" width="9.140625" style="2"/>
  </cols>
  <sheetData>
    <row r="2" spans="1:6" ht="15.75" x14ac:dyDescent="0.25">
      <c r="A2" s="3" t="s">
        <v>85</v>
      </c>
      <c r="B2" s="5" t="s">
        <v>87</v>
      </c>
      <c r="C2" s="5" t="s">
        <v>88</v>
      </c>
      <c r="D2" s="5" t="s">
        <v>89</v>
      </c>
      <c r="E2" s="5" t="s">
        <v>86</v>
      </c>
    </row>
    <row r="3" spans="1:6" x14ac:dyDescent="0.25">
      <c r="A3" s="4" t="s">
        <v>9</v>
      </c>
      <c r="B3" s="2">
        <f>MIN('churn-bigml-80'!B2:B2667)</f>
        <v>1</v>
      </c>
      <c r="C3" s="2">
        <f>MAX('churn-bigml-80'!B2:B2667)</f>
        <v>243</v>
      </c>
      <c r="D3" s="2">
        <f>AVERAGE('churn-bigml-80'!B2:B2667)</f>
        <v>100.62040510127532</v>
      </c>
      <c r="E3" s="2">
        <f>_xlfn.STDEV.S('churn-bigml-80'!B2:B2667)</f>
        <v>39.563973653349848</v>
      </c>
      <c r="F3" t="str">
        <f>IF(C3&gt;D3+(3*E3),"OUTLIER", "OK")</f>
        <v>OUTLIER</v>
      </c>
    </row>
    <row r="4" spans="1:6" x14ac:dyDescent="0.25">
      <c r="A4" s="1" t="s">
        <v>13</v>
      </c>
      <c r="B4" s="2">
        <f>MIN('churn-bigml-80'!F2:F2667)</f>
        <v>0</v>
      </c>
      <c r="C4" s="2">
        <f>MAX('churn-bigml-80'!F2:F2667)</f>
        <v>50</v>
      </c>
      <c r="D4" s="2">
        <f>AVERAGE('churn-bigml-80'!F2:F2667)</f>
        <v>8.0217554388597154</v>
      </c>
      <c r="E4" s="2">
        <f>_xlfn.STDEV.S('churn-bigml-80'!F2:F2667)</f>
        <v>13.612277018291943</v>
      </c>
      <c r="F4" t="str">
        <f t="shared" ref="F4:F17" si="0">IF(C4&gt;D4+(3*E4),"OUTLIER", "OK")</f>
        <v>OUTLIER</v>
      </c>
    </row>
    <row r="5" spans="1:6" x14ac:dyDescent="0.25">
      <c r="A5" s="1" t="s">
        <v>14</v>
      </c>
      <c r="B5" s="2">
        <f>MIN('churn-bigml-80'!G2:G2667)</f>
        <v>0</v>
      </c>
      <c r="C5" s="2">
        <f>MAX('churn-bigml-80'!G2:G2667)</f>
        <v>350.8</v>
      </c>
      <c r="D5" s="2">
        <f>AVERAGE('churn-bigml-80'!G2:G2667)</f>
        <v>179.48162040510135</v>
      </c>
      <c r="E5" s="2">
        <f>_xlfn.STDEV.S('churn-bigml-80'!G2:G2667)</f>
        <v>54.210350220869756</v>
      </c>
      <c r="F5" t="str">
        <f t="shared" si="0"/>
        <v>OUTLIER</v>
      </c>
    </row>
    <row r="6" spans="1:6" x14ac:dyDescent="0.25">
      <c r="A6" s="1" t="s">
        <v>15</v>
      </c>
      <c r="B6" s="2">
        <f>MIN('churn-bigml-80'!H2:H2667)</f>
        <v>0</v>
      </c>
      <c r="C6" s="2">
        <f>MAX('churn-bigml-80'!H2:H2667)</f>
        <v>160</v>
      </c>
      <c r="D6" s="2">
        <f>AVERAGE('churn-bigml-80'!H2:H2667)</f>
        <v>100.31020255063765</v>
      </c>
      <c r="E6" s="2">
        <f>_xlfn.STDEV.S('churn-bigml-80'!H2:H2667)</f>
        <v>19.988162186059487</v>
      </c>
      <c r="F6" t="str">
        <f t="shared" si="0"/>
        <v>OK</v>
      </c>
    </row>
    <row r="7" spans="1:6" x14ac:dyDescent="0.25">
      <c r="A7" s="1" t="s">
        <v>16</v>
      </c>
      <c r="B7" s="2">
        <f>MIN('churn-bigml-80'!I2:I2667)</f>
        <v>0</v>
      </c>
      <c r="C7" s="2">
        <f>MAX('churn-bigml-80'!J2:J2667)</f>
        <v>363.7</v>
      </c>
      <c r="D7" s="2">
        <f>AVERAGE('churn-bigml-80'!I2:I2667)</f>
        <v>30.512404351087813</v>
      </c>
      <c r="E7" s="2">
        <f>_xlfn.STDEV.S('churn-bigml-80'!I2:I2667)</f>
        <v>9.2157329071633605</v>
      </c>
      <c r="F7" t="str">
        <f t="shared" si="0"/>
        <v>OUTLIER</v>
      </c>
    </row>
    <row r="8" spans="1:6" x14ac:dyDescent="0.25">
      <c r="A8" s="1" t="s">
        <v>17</v>
      </c>
      <c r="B8" s="2">
        <f>MIN('churn-bigml-80'!J2:J2667)</f>
        <v>0</v>
      </c>
      <c r="C8" s="2">
        <f>MAX('churn-bigml-80'!J2:J2667)</f>
        <v>363.7</v>
      </c>
      <c r="D8" s="2">
        <f>AVERAGE('churn-bigml-80'!J2:J2667)</f>
        <v>200.38615903976006</v>
      </c>
      <c r="E8" s="2">
        <f>_xlfn.STDEV.S('churn-bigml-80'!J2:J2667)</f>
        <v>50.951515117645933</v>
      </c>
      <c r="F8" t="str">
        <f t="shared" si="0"/>
        <v>OUTLIER</v>
      </c>
    </row>
    <row r="9" spans="1:6" x14ac:dyDescent="0.25">
      <c r="A9" s="1" t="s">
        <v>18</v>
      </c>
      <c r="B9" s="2">
        <f>MIN('churn-bigml-80'!K2:K2667)</f>
        <v>0</v>
      </c>
      <c r="C9" s="2">
        <f>MAX('churn-bigml-80'!K2:K2667)</f>
        <v>170</v>
      </c>
      <c r="D9" s="2">
        <f>AVERAGE('churn-bigml-80'!K2:K2667)</f>
        <v>100.02363090772693</v>
      </c>
      <c r="E9" s="2">
        <f>_xlfn.STDEV.S('churn-bigml-80'!K2:K2667)</f>
        <v>20.161445115318894</v>
      </c>
      <c r="F9" t="str">
        <f t="shared" si="0"/>
        <v>OUTLIER</v>
      </c>
    </row>
    <row r="10" spans="1:6" x14ac:dyDescent="0.25">
      <c r="A10" s="1" t="s">
        <v>19</v>
      </c>
      <c r="B10" s="2">
        <f>MIN('churn-bigml-80'!L2:L2667)</f>
        <v>0</v>
      </c>
      <c r="C10" s="2">
        <f>MAX('churn-bigml-80'!L2:L2667)</f>
        <v>30.91</v>
      </c>
      <c r="D10" s="2">
        <f>AVERAGE('churn-bigml-80'!L2:L2667)</f>
        <v>17.033072018004518</v>
      </c>
      <c r="E10" s="2">
        <f>_xlfn.STDEV.S('churn-bigml-80'!L2:L2667)</f>
        <v>4.3308641767997704</v>
      </c>
      <c r="F10" t="str">
        <f t="shared" si="0"/>
        <v>OUTLIER</v>
      </c>
    </row>
    <row r="11" spans="1:6" x14ac:dyDescent="0.25">
      <c r="A11" s="1" t="s">
        <v>20</v>
      </c>
      <c r="B11" s="2">
        <f>MIN('churn-bigml-80'!M2:M2667)</f>
        <v>43.7</v>
      </c>
      <c r="C11" s="2">
        <f>MAX('churn-bigml-80'!M2:M2667)</f>
        <v>395</v>
      </c>
      <c r="D11" s="2">
        <f>AVERAGE('churn-bigml-80'!M2:M2667)</f>
        <v>201.16894223555968</v>
      </c>
      <c r="E11" s="2">
        <f>_xlfn.STDEV.S('churn-bigml-80'!M2:M2667)</f>
        <v>50.780323368721895</v>
      </c>
      <c r="F11" t="str">
        <f t="shared" si="0"/>
        <v>OUTLIER</v>
      </c>
    </row>
    <row r="12" spans="1:6" x14ac:dyDescent="0.25">
      <c r="A12" s="1" t="s">
        <v>21</v>
      </c>
      <c r="B12" s="2">
        <f>MIN('churn-bigml-80'!N2:N2667)</f>
        <v>33</v>
      </c>
      <c r="C12" s="2">
        <f>MAX('churn-bigml-80'!N2:N2667)</f>
        <v>166</v>
      </c>
      <c r="D12" s="2">
        <f>AVERAGE('churn-bigml-80'!N2:N2667)</f>
        <v>100.10615153788447</v>
      </c>
      <c r="E12" s="2">
        <f>_xlfn.STDEV.S('churn-bigml-80'!N2:N2667)</f>
        <v>19.418458551101708</v>
      </c>
      <c r="F12" t="str">
        <f t="shared" si="0"/>
        <v>OUTLIER</v>
      </c>
    </row>
    <row r="13" spans="1:6" x14ac:dyDescent="0.25">
      <c r="A13" s="1" t="s">
        <v>22</v>
      </c>
      <c r="B13" s="2">
        <f>MIN('churn-bigml-80'!O2:O2667)</f>
        <v>1.97</v>
      </c>
      <c r="C13" s="2">
        <f>MAX('churn-bigml-80'!O2:O2667)</f>
        <v>17.77</v>
      </c>
      <c r="D13" s="2">
        <f>AVERAGE('churn-bigml-80'!O2:O2667)</f>
        <v>9.0526894223556038</v>
      </c>
      <c r="E13" s="2">
        <f>_xlfn.STDEV.S('churn-bigml-80'!O2:O2667)</f>
        <v>2.2851195129157094</v>
      </c>
      <c r="F13" t="str">
        <f t="shared" si="0"/>
        <v>OUTLIER</v>
      </c>
    </row>
    <row r="14" spans="1:6" x14ac:dyDescent="0.25">
      <c r="A14" s="1" t="s">
        <v>23</v>
      </c>
      <c r="B14" s="2">
        <f>MIN('churn-bigml-80'!P2:P2667)</f>
        <v>0</v>
      </c>
      <c r="C14" s="2">
        <f>MAX('churn-bigml-80'!P2:P2667)</f>
        <v>20</v>
      </c>
      <c r="D14" s="2">
        <f>AVERAGE('churn-bigml-80'!P2:P2667)</f>
        <v>10.23702175543886</v>
      </c>
      <c r="E14" s="2">
        <f>_xlfn.STDEV.S('churn-bigml-80'!P2:P2662)</f>
        <v>2.7889534586919287</v>
      </c>
      <c r="F14" t="str">
        <f t="shared" si="0"/>
        <v>OUTLIER</v>
      </c>
    </row>
    <row r="15" spans="1:6" x14ac:dyDescent="0.25">
      <c r="A15" s="1" t="s">
        <v>24</v>
      </c>
      <c r="B15" s="2">
        <f>MIN('churn-bigml-80'!Q2:Q2667)</f>
        <v>0</v>
      </c>
      <c r="C15" s="2">
        <f>MAX('churn-bigml-80'!Q2:Q2667)</f>
        <v>20</v>
      </c>
      <c r="D15" s="2">
        <f>AVERAGE('churn-bigml-80'!Q2:Q2667)</f>
        <v>4.4673668417104277</v>
      </c>
      <c r="E15" s="2">
        <f>_xlfn.STDEV.S('churn-bigml-80'!Q2:Q2667)</f>
        <v>2.4561949030129497</v>
      </c>
      <c r="F15" t="str">
        <f t="shared" si="0"/>
        <v>OUTLIER</v>
      </c>
    </row>
    <row r="16" spans="1:6" x14ac:dyDescent="0.25">
      <c r="A16" s="1" t="s">
        <v>25</v>
      </c>
      <c r="B16" s="2">
        <f>MIN('churn-bigml-80'!R2:R2667)</f>
        <v>0</v>
      </c>
      <c r="C16" s="2">
        <f>MAX('churn-bigml-80'!R2:R2667)</f>
        <v>5.4</v>
      </c>
      <c r="D16" s="2">
        <f>AVERAGE('churn-bigml-80'!R2:R2667)</f>
        <v>2.7644898724681122</v>
      </c>
      <c r="E16" s="2">
        <f>_xlfn.STDEV.S('churn-bigml-80'!R2:R2667)</f>
        <v>0.75281205312286192</v>
      </c>
      <c r="F16" t="str">
        <f t="shared" si="0"/>
        <v>OUTLIER</v>
      </c>
    </row>
    <row r="17" spans="1:6" x14ac:dyDescent="0.25">
      <c r="A17" s="1" t="s">
        <v>26</v>
      </c>
      <c r="B17" s="2">
        <f>MIN('churn-bigml-80'!S2:S2667)</f>
        <v>0</v>
      </c>
      <c r="C17" s="2">
        <f>MAX('churn-bigml-80'!S2:S2667)</f>
        <v>9</v>
      </c>
      <c r="D17" s="2">
        <f>AVERAGE('churn-bigml-80'!S2:S2667)</f>
        <v>1.5626406601650413</v>
      </c>
      <c r="E17" s="2">
        <f>_xlfn.STDEV.S('churn-bigml-80'!S2:S2667)</f>
        <v>1.3112357589949093</v>
      </c>
      <c r="F17" t="str">
        <f t="shared" si="0"/>
        <v>OUTLIER</v>
      </c>
    </row>
  </sheetData>
  <pageMargins left="0.7" right="0.7" top="0.75" bottom="0.75" header="0.3" footer="0.3"/>
  <ignoredErrors>
    <ignoredError sqref="E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4C39-4D5C-4B1F-86BC-33FE8BC322F6}">
  <dimension ref="A1:H16"/>
  <sheetViews>
    <sheetView zoomScale="120" workbookViewId="0">
      <selection activeCell="B6" sqref="B6"/>
    </sheetView>
  </sheetViews>
  <sheetFormatPr defaultRowHeight="15" x14ac:dyDescent="0.25"/>
  <cols>
    <col min="1" max="1" width="12.42578125" bestFit="1" customWidth="1"/>
    <col min="2" max="2" width="12.140625" style="2" bestFit="1" customWidth="1"/>
    <col min="3" max="3" width="11.5703125" style="2" customWidth="1"/>
    <col min="4" max="4" width="11.7109375" style="2" bestFit="1" customWidth="1"/>
    <col min="5" max="5" width="11.140625" style="2" bestFit="1" customWidth="1"/>
  </cols>
  <sheetData>
    <row r="1" spans="1:8" ht="15.75" x14ac:dyDescent="0.25">
      <c r="C1" s="9" t="s">
        <v>96</v>
      </c>
    </row>
    <row r="2" spans="1:8" x14ac:dyDescent="0.25">
      <c r="B2" s="10" t="s">
        <v>97</v>
      </c>
      <c r="C2" s="10" t="s">
        <v>98</v>
      </c>
      <c r="D2" s="10" t="s">
        <v>99</v>
      </c>
      <c r="E2" s="10" t="s">
        <v>100</v>
      </c>
    </row>
    <row r="3" spans="1:8" ht="15.75" x14ac:dyDescent="0.25">
      <c r="A3" s="7" t="s">
        <v>90</v>
      </c>
      <c r="B3" s="2">
        <f>AVERAGE('1) iris'!A2:A148)</f>
        <v>5.8564625850340155</v>
      </c>
      <c r="C3" s="2">
        <f>AVERAGE('1) iris'!B2:B148)</f>
        <v>3.0557823129251713</v>
      </c>
      <c r="D3" s="2">
        <f>AVERAGE('1) iris'!C2:C148)</f>
        <v>3.78027210884354</v>
      </c>
      <c r="E3" s="2">
        <f>AVERAGE('1) iris'!D2:D148)</f>
        <v>1.2088435374149666</v>
      </c>
      <c r="H3" s="8"/>
    </row>
    <row r="4" spans="1:8" ht="15.75" x14ac:dyDescent="0.25">
      <c r="A4" s="7" t="s">
        <v>91</v>
      </c>
      <c r="B4" s="2">
        <f>MEDIAN('1) iris'!A2:A148)</f>
        <v>5.8</v>
      </c>
      <c r="C4" s="2">
        <f>MEDIAN('1) iris'!B2:B148)</f>
        <v>3</v>
      </c>
      <c r="D4" s="2">
        <f>MEDIAN('1) iris'!C2:C148)</f>
        <v>4.4000000000000004</v>
      </c>
      <c r="E4" s="2">
        <f>MEDIAN('1) iris'!D2:D148)</f>
        <v>1.3</v>
      </c>
    </row>
    <row r="5" spans="1:8" ht="15.75" x14ac:dyDescent="0.25">
      <c r="A5" s="7" t="s">
        <v>92</v>
      </c>
      <c r="B5" s="2">
        <f>_xlfn.MODE.SNGL('1) iris'!A2:A148)</f>
        <v>5</v>
      </c>
      <c r="C5" s="2">
        <f>_xlfn.MODE.SNGL('1) iris'!B2:B148)</f>
        <v>3</v>
      </c>
      <c r="D5" s="2">
        <f>_xlfn.MODE.SNGL('1) iris'!C2:C148)</f>
        <v>1.4</v>
      </c>
      <c r="E5" s="2">
        <f>_xlfn.MODE.SNGL('1) iris'!D2:D148)</f>
        <v>0.2</v>
      </c>
    </row>
    <row r="6" spans="1:8" ht="15.75" x14ac:dyDescent="0.25">
      <c r="A6" s="7" t="s">
        <v>93</v>
      </c>
      <c r="B6" s="2">
        <f>_xlfn.STDEV.S('1) iris'!A2:A148)</f>
        <v>0.82909986073448083</v>
      </c>
      <c r="C6" s="2">
        <f>_xlfn.STDEV.S('1) iris'!B2:B148)</f>
        <v>0.43700870680341913</v>
      </c>
      <c r="D6" s="2">
        <f>_xlfn.STDEV.S('1) iris'!C2:C148)</f>
        <v>1.7591108999509735</v>
      </c>
      <c r="E6" s="2">
        <f>_xlfn.STDEV.S('1) iris'!D2:D148)</f>
        <v>0.7578742052400399</v>
      </c>
    </row>
    <row r="7" spans="1:8" ht="15.75" x14ac:dyDescent="0.25">
      <c r="A7" s="7" t="s">
        <v>94</v>
      </c>
      <c r="B7" s="2">
        <f>MIN('1) iris'!A2:A148)</f>
        <v>4.3</v>
      </c>
      <c r="C7" s="2">
        <f>MIN('1) iris'!B2:B148)</f>
        <v>2</v>
      </c>
      <c r="D7" s="2">
        <f>MIN('1) iris'!C2:C148)</f>
        <v>1</v>
      </c>
      <c r="E7" s="2">
        <f>MIN('1) iris'!D2:D148)</f>
        <v>0.1</v>
      </c>
    </row>
    <row r="8" spans="1:8" ht="15.75" x14ac:dyDescent="0.25">
      <c r="A8" s="7" t="s">
        <v>95</v>
      </c>
      <c r="B8" s="2">
        <f>MAX('1) iris'!A2:A148)</f>
        <v>7.9</v>
      </c>
      <c r="C8" s="2">
        <f>MAX('1) iris'!B2:B148)</f>
        <v>4.4000000000000004</v>
      </c>
      <c r="D8" s="2">
        <f>MAX('1) iris'!C2:C148)</f>
        <v>6.9</v>
      </c>
      <c r="E8" s="2">
        <f>MAX('1) iris'!D2:D148)</f>
        <v>2.5</v>
      </c>
    </row>
    <row r="11" spans="1:8" x14ac:dyDescent="0.25">
      <c r="C11" s="10" t="s">
        <v>101</v>
      </c>
    </row>
    <row r="12" spans="1:8" x14ac:dyDescent="0.25">
      <c r="A12" s="6" t="s">
        <v>102</v>
      </c>
      <c r="D12" s="10" t="s">
        <v>103</v>
      </c>
    </row>
    <row r="13" spans="1:8" x14ac:dyDescent="0.25">
      <c r="A13" t="s">
        <v>104</v>
      </c>
      <c r="D13" s="2">
        <f>CORREL(_1__iris[sepal_length],_1__iris[petal_length])</f>
        <v>0.87130455630915216</v>
      </c>
    </row>
    <row r="14" spans="1:8" x14ac:dyDescent="0.25">
      <c r="A14" t="s">
        <v>105</v>
      </c>
      <c r="D14" s="2">
        <f>CORREL(_1__iris[sepal_width],_1__iris[petal_width])</f>
        <v>-0.35637616036971637</v>
      </c>
    </row>
    <row r="15" spans="1:8" x14ac:dyDescent="0.25">
      <c r="A15" t="s">
        <v>106</v>
      </c>
      <c r="D15" s="2">
        <f>CORREL(_1__iris[sepal_length],_1__iris[petal_width])</f>
        <v>0.81705830216400122</v>
      </c>
    </row>
    <row r="16" spans="1:8" x14ac:dyDescent="0.25">
      <c r="A16" t="s">
        <v>107</v>
      </c>
      <c r="D16" s="2">
        <f>CORREL(_1__iris[sepal_width],_1__iris[petal_length])</f>
        <v>-0.42105739409783005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AFB5-6F78-4EAA-AF61-FDCA70E1BA33}">
  <dimension ref="A1"/>
  <sheetViews>
    <sheetView zoomScale="88" workbookViewId="0">
      <selection activeCell="P13" sqref="P13:P15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1B5737-31EB-40FC-BDC4-1955F40607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1) iris</vt:lpstr>
      <vt:lpstr>churn-bigml-80</vt:lpstr>
      <vt:lpstr>Churn Summary Stats</vt:lpstr>
      <vt:lpstr>EDA Summary.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2026-05-26T18:45:46Z</dcterms:created>
  <dcterms:modified xsi:type="dcterms:W3CDTF">2026-06-02T12:10:58Z</dcterms:modified>
</cp:coreProperties>
</file>